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Accounting" sheetId="1" state="visible" r:id="rId1"/>
    <sheet xmlns:r="http://schemas.openxmlformats.org/officeDocument/2006/relationships" name="Dataset_Provenance" sheetId="2" state="visible" r:id="rId2"/>
    <sheet xmlns:r="http://schemas.openxmlformats.org/officeDocument/2006/relationships" name="Feature_Contract" sheetId="3" state="visible" r:id="rId3"/>
    <sheet xmlns:r="http://schemas.openxmlformats.org/officeDocument/2006/relationships" name="CCNG1_Main_Results" sheetId="4" state="visible" r:id="rId4"/>
    <sheet xmlns:r="http://schemas.openxmlformats.org/officeDocument/2006/relationships" name="CCmax_ZeroShot" sheetId="5" state="visible" r:id="rId5"/>
    <sheet xmlns:r="http://schemas.openxmlformats.org/officeDocument/2006/relationships" name="CCmax_Locked" sheetId="6" state="visible" r:id="rId6"/>
    <sheet xmlns:r="http://schemas.openxmlformats.org/officeDocument/2006/relationships" name="Orthogonal_Recovery" sheetId="7" state="visible" r:id="rId7"/>
    <sheet xmlns:r="http://schemas.openxmlformats.org/officeDocument/2006/relationships" name="CC0_Results" sheetId="8" state="visible" r:id="rId8"/>
    <sheet xmlns:r="http://schemas.openxmlformats.org/officeDocument/2006/relationships" name="MP3_Results" sheetId="9" state="visible" r:id="rId9"/>
    <sheet xmlns:r="http://schemas.openxmlformats.org/officeDocument/2006/relationships" name="Supplementary_Potapov" sheetId="10" state="visible" r:id="rId10"/>
    <sheet xmlns:r="http://schemas.openxmlformats.org/officeDocument/2006/relationships" name="Supplementary_SYNZIP" sheetId="11" state="visible" r:id="rId11"/>
    <sheet xmlns:r="http://schemas.openxmlformats.org/officeDocument/2006/relationships" name="Supplementary_Structure_Audit" sheetId="12" state="visible" r:id="rId12"/>
    <sheet xmlns:r="http://schemas.openxmlformats.org/officeDocument/2006/relationships" name="GLMY5_Readout_Audit" sheetId="13" state="visible" r:id="rId13"/>
    <sheet xmlns:r="http://schemas.openxmlformats.org/officeDocument/2006/relationships" name="GLMY5_Paired_Deltas" sheetId="14" state="visible" r:id="rId14"/>
    <sheet xmlns:r="http://schemas.openxmlformats.org/officeDocument/2006/relationships" name="GLMY5_Selection_Freq" sheetId="15" state="visible" r:id="rId15"/>
    <sheet xmlns:r="http://schemas.openxmlformats.org/officeDocument/2006/relationships" name="GLMY5_FiniteState" sheetId="16" state="visible" r:id="rId16"/>
  </sheets>
  <definedNames>
    <definedName name="_xlnm._FilterDatabase" localSheetId="1" hidden="1">'Dataset_Provenance'!$A$1:$J$9</definedName>
    <definedName name="_xlnm._FilterDatabase" localSheetId="2" hidden="1">'Feature_Contract'!$A$1:$F$5</definedName>
    <definedName name="_xlnm._FilterDatabase" localSheetId="3" hidden="1">'CCNG1_Main_Results'!$A$1:$I$5</definedName>
    <definedName name="_xlnm._FilterDatabase" localSheetId="4" hidden="1">'CCmax_ZeroShot'!$A$1:$F$5</definedName>
    <definedName name="_xlnm._FilterDatabase" localSheetId="5" hidden="1">'CCmax_Locked'!$A$1:$G$7</definedName>
    <definedName name="_xlnm._FilterDatabase" localSheetId="6" hidden="1">'Orthogonal_Recovery'!$A$1:$H$5</definedName>
    <definedName name="_xlnm._FilterDatabase" localSheetId="7" hidden="1">'CC0_Results'!$A$1:$G$6</definedName>
    <definedName name="_xlnm._FilterDatabase" localSheetId="8" hidden="1">'MP3_Results'!$A$1:$J$5</definedName>
    <definedName name="_xlnm._FilterDatabase" localSheetId="9" hidden="1">'Supplementary_Potapov'!$A$1:$G$5</definedName>
    <definedName name="_xlnm._FilterDatabase" localSheetId="10" hidden="1">'Supplementary_SYNZIP'!$A$1:$H$5</definedName>
    <definedName name="_xlnm._FilterDatabase" localSheetId="11" hidden="1">'Supplementary_Structure_Audit'!$A$1:$E$9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3">
    <border>
      <left/>
      <right/>
      <top/>
      <bottom/>
      <diagonal/>
    </border>
    <border>
      <bottom style="thin">
        <color rgb="00D9E1E8"/>
      </bottom>
    </border>
    <border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Feature block</t>
        </is>
      </c>
      <c r="B1" s="1" t="inlineStr">
        <is>
          <t>Increment</t>
        </is>
      </c>
      <c r="C1" s="1" t="inlineStr">
        <is>
          <t>Cumulative</t>
        </is>
      </c>
    </row>
    <row r="2">
      <c r="A2" s="2" t="inlineStr">
        <is>
          <t>Engineered</t>
        </is>
      </c>
      <c r="B2" s="2" t="n">
        <v>2214</v>
      </c>
      <c r="C2" s="2">
        <f>B2</f>
        <v/>
      </c>
    </row>
    <row r="3">
      <c r="A3" s="2" t="inlineStr">
        <is>
          <t>Ordered register</t>
        </is>
      </c>
      <c r="B3" s="2" t="n">
        <v>118</v>
      </c>
      <c r="C3" s="2">
        <f>C2+B3</f>
        <v/>
      </c>
    </row>
    <row r="4">
      <c r="A4" s="2" t="inlineStr">
        <is>
          <t>Local register</t>
        </is>
      </c>
      <c r="B4" s="2" t="n">
        <v>102</v>
      </c>
      <c r="C4" s="2">
        <f>C3+B4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2" customWidth="1" min="2" max="2"/>
    <col width="28.8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39.6" customWidth="1" min="10" max="10"/>
  </cols>
  <sheetData>
    <row r="1">
      <c r="A1" s="3" t="inlineStr">
        <is>
          <t>Dataset</t>
        </is>
      </c>
      <c r="B1" s="3" t="inlineStr">
        <is>
          <t>Biological system and assay</t>
        </is>
      </c>
      <c r="C1" s="3" t="inlineStr">
        <is>
          <t>Experimental unit</t>
        </is>
      </c>
      <c r="D1" s="3" t="inlineStr">
        <is>
          <t>Analysis scale</t>
        </is>
      </c>
      <c r="E1" s="3" t="inlineStr">
        <is>
          <t>Endpoint</t>
        </is>
      </c>
      <c r="F1" s="3" t="inlineStr">
        <is>
          <t>Role in study</t>
        </is>
      </c>
      <c r="G1" s="3" t="inlineStr">
        <is>
          <t>Label-use policy</t>
        </is>
      </c>
      <c r="H1" s="3" t="inlineStr">
        <is>
          <t>Primary split/evaluation</t>
        </is>
      </c>
      <c r="I1" s="3" t="inlineStr">
        <is>
          <t>Provenance</t>
        </is>
      </c>
      <c r="J1" s="3" t="inlineStr">
        <is>
          <t>Public source</t>
        </is>
      </c>
    </row>
    <row r="2">
      <c r="A2" s="4" t="inlineStr">
        <is>
          <t>CCNG1/R8000</t>
        </is>
      </c>
      <c r="B2" s="4" t="inlineStr">
        <is>
          <t>Designed coiled-coils; NGB2H</t>
        </is>
      </c>
      <c r="C2" s="5" t="inlineStr">
        <is>
          <t>Unordered measured interaction</t>
        </is>
      </c>
      <c r="D2" s="5" t="inlineStr">
        <is>
          <t>8,147 pairs; 16,294 directed modeling rows</t>
        </is>
      </c>
      <c r="E2" s="5" t="inlineStr">
        <is>
          <t>Quantitative interaction score</t>
        </is>
      </c>
      <c r="F2" s="5" t="inlineStr">
        <is>
          <t>Internal frozen representation benchmark</t>
        </is>
      </c>
      <c r="G2" s="5" t="inlineStr">
        <is>
          <t>Used for representation development and frozen internal evaluation</t>
        </is>
      </c>
      <c r="H2" s="5" t="inlineStr">
        <is>
          <t>Five sequence-group both-chains-unseen outer splits</t>
        </is>
      </c>
      <c r="I2" s="5" t="inlineStr">
        <is>
          <t>This study; protocol matched to public NGB2H data</t>
        </is>
      </c>
      <c r="J2" s="6" t="inlineStr">
        <is>
          <t>https://doi.org/10.1038/s41467-023-38697-x</t>
        </is>
      </c>
    </row>
    <row r="3">
      <c r="A3" s="4" t="inlineStr">
        <is>
          <t>CCmax</t>
        </is>
      </c>
      <c r="B3" s="4" t="inlineStr">
        <is>
          <t>Independently designed coiled-coils; NGB2H</t>
        </is>
      </c>
      <c r="C3" s="5" t="inlineStr">
        <is>
          <t>Designed interaction measurement</t>
        </is>
      </c>
      <c r="D3" s="5" t="inlineStr">
        <is>
          <t>18,491 designed; 17,983 high-quality; 17,960 mapped directed rows; 9,437 unordered sequence pairs; 791 sequences</t>
        </is>
      </c>
      <c r="E3" s="5" t="inlineStr">
        <is>
          <t>Quantitative interaction score</t>
        </is>
      </c>
      <c r="F3" s="5" t="inlineStr">
        <is>
          <t>Primary target-domain zero-shot and supervised locked benchmark</t>
        </is>
      </c>
      <c r="G3" s="5" t="inlineStr">
        <is>
          <t>Zero-shot first; CCmax labels later permitted only in locked supervised stage</t>
        </is>
      </c>
      <c r="H3" s="5" t="inlineStr">
        <is>
          <t>20 fresh label-blind both-chains-unseen splits</t>
        </is>
      </c>
      <c r="I3" s="6" t="inlineStr">
        <is>
          <t>Public data + this study</t>
        </is>
      </c>
      <c r="J3" s="6" t="inlineStr">
        <is>
          <t>https://doi.org/10.1038/s41467-023-38697-x</t>
        </is>
      </c>
    </row>
    <row r="4">
      <c r="A4" s="4" t="inlineStr">
        <is>
          <t>Orthogonal recovery</t>
        </is>
      </c>
      <c r="B4" s="4" t="inlineStr">
        <is>
          <t>Predefined CCmax design-family candidate sets</t>
        </is>
      </c>
      <c r="C4" s="5" t="inlineStr">
        <is>
          <t>Candidate pair within a set</t>
        </is>
      </c>
      <c r="D4" s="5" t="inlineStr">
        <is>
          <t>13 predefined sets in best exact-recovery analysis</t>
        </is>
      </c>
      <c r="E4" s="5" t="inlineStr">
        <is>
          <t>On-target vs off-target retrieval</t>
        </is>
      </c>
      <c r="F4" s="5" t="inlineStr">
        <is>
          <t>Application endpoint</t>
        </is>
      </c>
      <c r="G4" s="5" t="inlineStr">
        <is>
          <t>Model configurations frozen before final recovery analysis</t>
        </is>
      </c>
      <c r="H4" s="5" t="inlineStr">
        <is>
          <t>AP, Recall@K, Top-1, MRR, exact set recovery</t>
        </is>
      </c>
      <c r="I4" s="5" t="inlineStr">
        <is>
          <t>This study</t>
        </is>
      </c>
      <c r="J4" s="6" t="inlineStr">
        <is>
          <t>https://doi.org/10.1038/s41467-023-38697-x</t>
        </is>
      </c>
    </row>
    <row r="5">
      <c r="A5" s="4" t="inlineStr">
        <is>
          <t>CC0</t>
        </is>
      </c>
      <c r="B5" s="4" t="inlineStr">
        <is>
          <t>Designed peptide coiled-coils; CD melting</t>
        </is>
      </c>
      <c r="C5" s="5" t="inlineStr">
        <is>
          <t>Unordered peptide pair</t>
        </is>
      </c>
      <c r="D5" s="5" t="inlineStr">
        <is>
          <t>16 peptides; 136 complete pairs</t>
        </is>
      </c>
      <c r="E5" s="5" t="inlineStr">
        <is>
          <t>Melting temperature Tm and high-Tm classification</t>
        </is>
      </c>
      <c r="F5" s="5" t="inlineStr">
        <is>
          <t>Independent thermodynamic transfer</t>
        </is>
      </c>
      <c r="G5" s="5" t="inlineStr">
        <is>
          <t>No CC0-driven feature selection; zero-shot and frozen post-CCmax transfer reported</t>
        </is>
      </c>
      <c r="H5" s="5" t="inlineStr">
        <is>
          <t>Complete-matrix transfer evaluation</t>
        </is>
      </c>
      <c r="I5" s="6" t="inlineStr">
        <is>
          <t>Public data + this study</t>
        </is>
      </c>
      <c r="J5" s="6" t="inlineStr">
        <is>
          <t>https://doi.org/10.1038/s41467-023-38697-x</t>
        </is>
      </c>
    </row>
    <row r="6">
      <c r="A6" s="4" t="inlineStr">
        <is>
          <t>MP3-seq NICP 1x1</t>
        </is>
      </c>
      <c r="B6" s="4" t="inlineStr">
        <is>
          <t>Designed coiled-coils; barcoded yeast interaction assay</t>
        </is>
      </c>
      <c r="C6" s="5" t="inlineStr">
        <is>
          <t>Directed protein pair</t>
        </is>
      </c>
      <c r="D6" s="5" t="inlineStr">
        <is>
          <t>12 proteins; 144 directed interactions; 141 five-replicate comparable; 6 intended pairs</t>
        </is>
      </c>
      <c r="E6" s="5" t="inlineStr">
        <is>
          <t>Interaction score and intended-partner retrieval</t>
        </is>
      </c>
      <c r="F6" s="5" t="inlineStr">
        <is>
          <t>Independent assay specificity</t>
        </is>
      </c>
      <c r="G6" s="5" t="inlineStr">
        <is>
          <t>Primary model locked before MP3 label inspection</t>
        </is>
      </c>
      <c r="H6" s="5" t="inlineStr">
        <is>
          <t>Full directed matrix + intended-partner retrieval</t>
        </is>
      </c>
      <c r="I6" s="6" t="inlineStr">
        <is>
          <t>Public data + this study</t>
        </is>
      </c>
      <c r="J6" s="6" t="inlineStr">
        <is>
          <t>https://doi.org/10.1038/s41589-024-01718-x</t>
        </is>
      </c>
    </row>
    <row r="7">
      <c r="A7" s="4" t="inlineStr">
        <is>
          <t>Potapov bZIP</t>
        </is>
      </c>
      <c r="B7" s="4" t="inlineStr">
        <is>
          <t>Natural and variant bZIPs; FRET Kd</t>
        </is>
      </c>
      <c r="C7" s="5" t="inlineStr">
        <is>
          <t>Unordered bZIP pair</t>
        </is>
      </c>
      <c r="D7" s="5" t="inlineStr">
        <is>
          <t>3,436 natural primary; 3,726 sequence-resolved sensitivity</t>
        </is>
      </c>
      <c r="E7" s="5" t="inlineStr">
        <is>
          <t>Binary strong binding and continuous affinity</t>
        </is>
      </c>
      <c r="F7" s="5" t="inlineStr">
        <is>
          <t>Supplementary natural-domain stress test</t>
        </is>
      </c>
      <c r="G7" s="5" t="inlineStr">
        <is>
          <t>No main-model selection</t>
        </is>
      </c>
      <c r="H7" s="5" t="inlineStr">
        <is>
          <t>Matched reconstruction tracks</t>
        </is>
      </c>
      <c r="I7" s="5" t="inlineStr">
        <is>
          <t>Published data + this study</t>
        </is>
      </c>
      <c r="J7" s="6" t="inlineStr">
        <is>
          <t>https://doi.org/10.1371/journal.pcbi.1004046</t>
        </is>
      </c>
    </row>
    <row r="8">
      <c r="A8" s="4" t="inlineStr">
        <is>
          <t>SYNZIP</t>
        </is>
      </c>
      <c r="B8" s="4" t="inlineStr">
        <is>
          <t>Synthetic coiled-coil interactome; protein microarray</t>
        </is>
      </c>
      <c r="C8" s="5" t="inlineStr">
        <is>
          <t>Unordered pair</t>
        </is>
      </c>
      <c r="D8" s="5" t="inlineStr">
        <is>
          <t>55 proteins; 1,540 unordered pairs; 27 preferred pairs</t>
        </is>
      </c>
      <c r="E8" s="5" t="inlineStr">
        <is>
          <t>Global score and preferred-partner retrieval</t>
        </is>
      </c>
      <c r="F8" s="5" t="inlineStr">
        <is>
          <t>Supplementary large-interactome stress test</t>
        </is>
      </c>
      <c r="G8" s="5" t="inlineStr">
        <is>
          <t>Zero-shot only</t>
        </is>
      </c>
      <c r="H8" s="5" t="inlineStr">
        <is>
          <t>Full matrix and preferred-pair retrieval</t>
        </is>
      </c>
      <c r="I8" s="5" t="inlineStr">
        <is>
          <t>Published data + this study</t>
        </is>
      </c>
      <c r="J8" s="6" t="inlineStr">
        <is>
          <t>https://doi.org/10.1021/ja907617a</t>
        </is>
      </c>
    </row>
    <row r="9">
      <c r="A9" s="4" t="inlineStr">
        <is>
          <t>CCdb/CC+ structure audit</t>
        </is>
      </c>
      <c r="B9" s="4" t="inlineStr">
        <is>
          <t>Experimental PDB coiled-coil bundles</t>
        </is>
      </c>
      <c r="C9" s="5" t="inlineStr">
        <is>
          <t>Two-chain structural bundle</t>
        </is>
      </c>
      <c r="D9" s="5" t="inlineStr">
        <is>
          <t>1,023 structures; 846 PDB IDs</t>
        </is>
      </c>
      <c r="E9" s="5" t="inlineStr">
        <is>
          <t>Orientation and heptad-register audit</t>
        </is>
      </c>
      <c r="F9" s="5" t="inlineStr">
        <is>
          <t>Supplementary applicability-domain audit</t>
        </is>
      </c>
      <c r="G9" s="5" t="inlineStr">
        <is>
          <t>No training or model selection</t>
        </is>
      </c>
      <c r="H9" s="5" t="inlineStr">
        <is>
          <t>Sequence-cluster and boundary-sensitivity audit</t>
        </is>
      </c>
      <c r="I9" s="6" t="inlineStr">
        <is>
          <t>Public structural resources + this study</t>
        </is>
      </c>
      <c r="J9" s="6" t="inlineStr">
        <is>
          <t>https://doi.org/10.1002/pro.4789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2" customWidth="1" min="2" max="2"/>
    <col width="18" customWidth="1" min="3" max="3"/>
    <col width="42" customWidth="1" min="4" max="4"/>
    <col width="42" customWidth="1" min="5" max="5"/>
    <col width="38.7" customWidth="1" min="6" max="6"/>
  </cols>
  <sheetData>
    <row r="1">
      <c r="A1" s="3" t="inlineStr">
        <is>
          <t>Block</t>
        </is>
      </c>
      <c r="B1" s="3" t="inlineStr">
        <is>
          <t>Dimension</t>
        </is>
      </c>
      <c r="C1" s="3" t="inlineStr">
        <is>
          <t>Cumulative dimension</t>
        </is>
      </c>
      <c r="D1" s="3" t="inlineStr">
        <is>
          <t>Definition</t>
        </is>
      </c>
      <c r="E1" s="3" t="inlineStr">
        <is>
          <t>Biological interpretation</t>
        </is>
      </c>
      <c r="F1" s="3" t="inlineStr">
        <is>
          <t>Primary use</t>
        </is>
      </c>
    </row>
    <row r="2">
      <c r="A2" s="4" t="inlineStr">
        <is>
          <t>Engineered</t>
        </is>
      </c>
      <c r="B2" s="7" t="n">
        <v>2214</v>
      </c>
      <c r="C2" s="7" t="n">
        <v>2214</v>
      </c>
      <c r="D2" s="5" t="inlineStr">
        <is>
          <t>Sequence, composition, heptad-conditioned, orientation, shift, core and charge summaries</t>
        </is>
      </c>
      <c r="E2" s="5" t="inlineStr">
        <is>
          <t>Broad pair chemistry and periodic register context</t>
        </is>
      </c>
      <c r="F2" s="5" t="inlineStr">
        <is>
          <t>CCNG1, zero-shot transfer, MP3 primary</t>
        </is>
      </c>
    </row>
    <row r="3">
      <c r="A3" s="4" t="inlineStr">
        <is>
          <t>Ordered register</t>
        </is>
      </c>
      <c r="B3" s="7" t="n">
        <v>118</v>
      </c>
      <c r="C3" s="7" t="n">
        <v>2332</v>
      </c>
      <c r="D3" s="5" t="inlineStr">
        <is>
          <t>Global typed-four ordering and common-offset two-center organization</t>
        </is>
      </c>
      <c r="E3" s="5" t="inlineStr">
        <is>
          <t>Whole-chain periodic coherence and ordered core/charge arrangement</t>
        </is>
      </c>
      <c r="F3" s="5" t="inlineStr">
        <is>
          <t>Internal and external quantitative modeling</t>
        </is>
      </c>
    </row>
    <row r="4">
      <c r="A4" s="4" t="inlineStr">
        <is>
          <t>Local register</t>
        </is>
      </c>
      <c r="B4" s="7" t="n">
        <v>102</v>
      </c>
      <c r="C4" s="7" t="n">
        <v>2434</v>
      </c>
      <c r="D4" s="5" t="inlineStr">
        <is>
          <t>Local register-adaptive typed neighborhoods and support/defect terms</t>
        </is>
      </c>
      <c r="E4" s="5" t="inlineStr">
        <is>
          <t>Local compatibility under register uncertainty</t>
        </is>
      </c>
      <c r="F4" s="5" t="inlineStr">
        <is>
          <t>Final HGB/XGB representation</t>
        </is>
      </c>
    </row>
    <row r="5">
      <c r="A5" s="4" t="inlineStr">
        <is>
          <t>Final</t>
        </is>
      </c>
      <c r="B5" s="7" t="n">
        <v>2434</v>
      </c>
      <c r="C5" s="7" t="n">
        <v>2434</v>
      </c>
      <c r="D5" s="5" t="inlineStr">
        <is>
          <t>Engineered + ordered + local</t>
        </is>
      </c>
      <c r="E5" s="5" t="inlineStr">
        <is>
          <t>Complete deterministic HeptadPair representation</t>
        </is>
      </c>
      <c r="F5" s="5" t="inlineStr">
        <is>
          <t>CCNG1 final; CCmax locked XGB final shared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19.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9.7" customWidth="1" min="9" max="9"/>
  </cols>
  <sheetData>
    <row r="1">
      <c r="A1" s="3" t="inlineStr">
        <is>
          <t>Model</t>
        </is>
      </c>
      <c r="B1" s="3" t="inlineStr">
        <is>
          <t>Dimension</t>
        </is>
      </c>
      <c r="C1" s="3" t="inlineStr">
        <is>
          <t>Learner</t>
        </is>
      </c>
      <c r="D1" s="3" t="inlineStr">
        <is>
          <t>Pearson</t>
        </is>
      </c>
      <c r="E1" s="3" t="inlineStr">
        <is>
          <t>Spearman</t>
        </is>
      </c>
      <c r="F1" s="3" t="inlineStr">
        <is>
          <t>R2</t>
        </is>
      </c>
      <c r="G1" s="3" t="inlineStr">
        <is>
          <t>RMSE</t>
        </is>
      </c>
      <c r="H1" s="3" t="inlineStr">
        <is>
          <t>MAE</t>
        </is>
      </c>
      <c r="I1" s="3" t="inlineStr">
        <is>
          <t>Provenance</t>
        </is>
      </c>
    </row>
    <row r="2">
      <c r="A2" s="4" t="inlineStr">
        <is>
          <t>iCipa reimplementation</t>
        </is>
      </c>
      <c r="B2" s="4" t="inlineStr">
        <is>
          <t>NA</t>
        </is>
      </c>
      <c r="C2" s="5" t="inlineStr">
        <is>
          <t>score/reimplementation</t>
        </is>
      </c>
      <c r="D2" s="8" t="n">
        <v>0.2798</v>
      </c>
      <c r="E2" s="8" t="n">
        <v>0.2502</v>
      </c>
      <c r="F2" s="8" t="n">
        <v>0.0551</v>
      </c>
      <c r="G2" s="8" t="n">
        <v>0.3923</v>
      </c>
      <c r="H2" s="8" t="n">
        <v>0.2867</v>
      </c>
      <c r="I2" s="5" t="inlineStr">
        <is>
          <t>Protocol-matched reimplementation</t>
        </is>
      </c>
    </row>
    <row r="3">
      <c r="A3" s="4" t="inlineStr">
        <is>
          <t>HeptadPair engineered</t>
        </is>
      </c>
      <c r="B3" s="7" t="n">
        <v>2214</v>
      </c>
      <c r="C3" s="5" t="inlineStr">
        <is>
          <t>HGB</t>
        </is>
      </c>
      <c r="D3" s="8" t="n">
        <v>0.6352</v>
      </c>
      <c r="E3" s="8" t="n">
        <v>0.6014</v>
      </c>
      <c r="F3" s="8" t="n">
        <v>0.3828</v>
      </c>
      <c r="G3" s="8" t="n">
        <v>0.3148</v>
      </c>
      <c r="H3" s="8" t="n">
        <v>0.2258</v>
      </c>
      <c r="I3" s="5" t="inlineStr">
        <is>
          <t>Frozen CCNG1 benchmark</t>
        </is>
      </c>
    </row>
    <row r="4">
      <c r="A4" s="4" t="inlineStr">
        <is>
          <t>HeptadPair ordered</t>
        </is>
      </c>
      <c r="B4" s="7" t="n">
        <v>2332</v>
      </c>
      <c r="C4" s="5" t="inlineStr">
        <is>
          <t>HGB</t>
        </is>
      </c>
      <c r="D4" s="8" t="n">
        <v>0.6572</v>
      </c>
      <c r="E4" s="8" t="n">
        <v>0.6263</v>
      </c>
      <c r="F4" s="8" t="n">
        <v>0.4117</v>
      </c>
      <c r="G4" s="8" t="n">
        <v>0.3072</v>
      </c>
      <c r="H4" s="8" t="n">
        <v>0.2211</v>
      </c>
      <c r="I4" s="5" t="inlineStr">
        <is>
          <t>Frozen CCNG1 benchmark</t>
        </is>
      </c>
    </row>
    <row r="5">
      <c r="A5" s="4" t="inlineStr">
        <is>
          <t>HeptadPair final</t>
        </is>
      </c>
      <c r="B5" s="7" t="n">
        <v>2434</v>
      </c>
      <c r="C5" s="5" t="inlineStr">
        <is>
          <t>HGB</t>
        </is>
      </c>
      <c r="D5" s="8" t="n">
        <v>0.6639</v>
      </c>
      <c r="E5" s="8" t="n">
        <v>0.6304999999999999</v>
      </c>
      <c r="F5" s="8" t="n">
        <v>0.418</v>
      </c>
      <c r="G5" s="8" t="n">
        <v>0.306</v>
      </c>
      <c r="H5" s="8" t="n">
        <v>0.2196</v>
      </c>
      <c r="I5" s="5" t="inlineStr">
        <is>
          <t>Frozen CCNG1 benchmark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19.8" customWidth="1" min="3" max="3"/>
    <col width="16.2" customWidth="1" min="4" max="4"/>
    <col width="17.1" customWidth="1" min="5" max="5"/>
    <col width="24.3" customWidth="1" min="6" max="6"/>
  </cols>
  <sheetData>
    <row r="1">
      <c r="A1" s="3" t="inlineStr">
        <is>
          <t>Model</t>
        </is>
      </c>
      <c r="B1" s="3" t="inlineStr">
        <is>
          <t>Dimension</t>
        </is>
      </c>
      <c r="C1" s="3" t="inlineStr">
        <is>
          <t>Learner</t>
        </is>
      </c>
      <c r="D1" s="3" t="inlineStr">
        <is>
          <t>Pair-level Pearson</t>
        </is>
      </c>
      <c r="E1" s="3" t="inlineStr">
        <is>
          <t>Pair-level Spearman</t>
        </is>
      </c>
      <c r="F1" s="3" t="inlineStr">
        <is>
          <t>Provenance</t>
        </is>
      </c>
    </row>
    <row r="2">
      <c r="A2" s="4" t="inlineStr">
        <is>
          <t>HeptadPair engineered</t>
        </is>
      </c>
      <c r="B2" s="7" t="n">
        <v>2214</v>
      </c>
      <c r="C2" s="5" t="inlineStr">
        <is>
          <t>HGB</t>
        </is>
      </c>
      <c r="D2" s="8" t="n">
        <v>0.6602</v>
      </c>
      <c r="E2" s="8" t="n">
        <v>0.5662</v>
      </c>
      <c r="F2" s="5" t="inlineStr">
        <is>
          <t>CCNG1-trained zero-shot</t>
        </is>
      </c>
    </row>
    <row r="3">
      <c r="A3" s="4" t="inlineStr">
        <is>
          <t>HeptadPair ordered</t>
        </is>
      </c>
      <c r="B3" s="7" t="n">
        <v>2332</v>
      </c>
      <c r="C3" s="5" t="inlineStr">
        <is>
          <t>HGB</t>
        </is>
      </c>
      <c r="D3" s="8" t="n">
        <v>0.6578000000000001</v>
      </c>
      <c r="E3" s="8" t="n">
        <v>0.5594</v>
      </c>
      <c r="F3" s="5" t="inlineStr">
        <is>
          <t>CCNG1-trained zero-shot</t>
        </is>
      </c>
    </row>
    <row r="4">
      <c r="A4" s="4" t="inlineStr">
        <is>
          <t>HeptadPair final</t>
        </is>
      </c>
      <c r="B4" s="7" t="n">
        <v>2434</v>
      </c>
      <c r="C4" s="5" t="inlineStr">
        <is>
          <t>HGB</t>
        </is>
      </c>
      <c r="D4" s="8" t="n">
        <v>0.6705</v>
      </c>
      <c r="E4" s="8" t="n">
        <v>0.5846</v>
      </c>
      <c r="F4" s="5" t="inlineStr">
        <is>
          <t>CCNG1-trained zero-shot</t>
        </is>
      </c>
    </row>
    <row r="5">
      <c r="A5" s="4" t="inlineStr">
        <is>
          <t>iCipa reimplementation</t>
        </is>
      </c>
      <c r="B5" s="4" t="inlineStr">
        <is>
          <t>NA</t>
        </is>
      </c>
      <c r="C5" s="5" t="inlineStr">
        <is>
          <t>score/reimplementation</t>
        </is>
      </c>
      <c r="D5" s="8" t="n">
        <v>0.5905</v>
      </c>
      <c r="E5" s="8" t="n">
        <v>0.6302</v>
      </c>
      <c r="F5" s="5" t="inlineStr">
        <is>
          <t>Protocol-matched comparator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25.2" customWidth="1" min="2" max="2"/>
    <col width="12" customWidth="1" min="3" max="3"/>
    <col width="12" customWidth="1" min="4" max="4"/>
    <col width="12" customWidth="1" min="5" max="5"/>
    <col width="12" customWidth="1" min="6" max="6"/>
    <col width="36.9" customWidth="1" min="7" max="7"/>
  </cols>
  <sheetData>
    <row r="1">
      <c r="A1" s="3" t="inlineStr">
        <is>
          <t>Result</t>
        </is>
      </c>
      <c r="B1" s="3" t="inlineStr">
        <is>
          <t>Model/contrast</t>
        </is>
      </c>
      <c r="C1" s="3" t="inlineStr">
        <is>
          <t>Value</t>
        </is>
      </c>
      <c r="D1" s="3" t="inlineStr">
        <is>
          <t>CI low</t>
        </is>
      </c>
      <c r="E1" s="3" t="inlineStr">
        <is>
          <t>CI high</t>
        </is>
      </c>
      <c r="F1" s="3" t="inlineStr">
        <is>
          <t>Adjusted p</t>
        </is>
      </c>
      <c r="G1" s="3" t="inlineStr">
        <is>
          <t>Notes</t>
        </is>
      </c>
    </row>
    <row r="2">
      <c r="A2" s="4" t="inlineStr">
        <is>
          <t>Mean Pearson</t>
        </is>
      </c>
      <c r="B2" s="4" t="inlineStr">
        <is>
          <t>XGB-1250 final shared 2434</t>
        </is>
      </c>
      <c r="C2" s="8" t="n">
        <v>0.894</v>
      </c>
      <c r="D2" s="5" t="inlineStr"/>
      <c r="E2" s="5" t="inlineStr"/>
      <c r="F2" s="5" t="inlineStr"/>
      <c r="G2" s="5" t="inlineStr">
        <is>
          <t>20 fresh both-chains-unseen splits</t>
        </is>
      </c>
    </row>
    <row r="3">
      <c r="A3" s="4" t="inlineStr">
        <is>
          <t>Mean Spearman</t>
        </is>
      </c>
      <c r="B3" s="4" t="inlineStr">
        <is>
          <t>XGB-1250 final shared 2434</t>
        </is>
      </c>
      <c r="C3" s="8" t="n">
        <v>0.8647</v>
      </c>
      <c r="D3" s="5" t="inlineStr"/>
      <c r="E3" s="5" t="inlineStr"/>
      <c r="F3" s="5" t="inlineStr"/>
      <c r="G3" s="5" t="inlineStr">
        <is>
          <t>20 fresh both-chains-unseen splits</t>
        </is>
      </c>
    </row>
    <row r="4">
      <c r="A4" s="4" t="inlineStr">
        <is>
          <t>Mean R2</t>
        </is>
      </c>
      <c r="B4" s="4" t="inlineStr">
        <is>
          <t>XGB-1250 final shared 2434</t>
        </is>
      </c>
      <c r="C4" s="8" t="n">
        <v>0.7953</v>
      </c>
      <c r="D4" s="5" t="inlineStr"/>
      <c r="E4" s="5" t="inlineStr"/>
      <c r="F4" s="5" t="inlineStr"/>
      <c r="G4" s="5" t="inlineStr">
        <is>
          <t>20 fresh both-chains-unseen splits</t>
        </is>
      </c>
    </row>
    <row r="5">
      <c r="A5" s="4" t="inlineStr">
        <is>
          <t>Mean RMSE</t>
        </is>
      </c>
      <c r="B5" s="4" t="inlineStr">
        <is>
          <t>XGB-1250 final shared 2434</t>
        </is>
      </c>
      <c r="C5" s="8" t="n">
        <v>0.5971</v>
      </c>
      <c r="D5" s="5" t="inlineStr"/>
      <c r="E5" s="5" t="inlineStr"/>
      <c r="F5" s="5" t="inlineStr"/>
      <c r="G5" s="5" t="inlineStr">
        <is>
          <t>20 fresh both-chains-unseen splits</t>
        </is>
      </c>
    </row>
    <row r="6">
      <c r="A6" s="4" t="inlineStr">
        <is>
          <t>R2 improvement</t>
        </is>
      </c>
      <c r="B6" s="4" t="inlineStr">
        <is>
          <t>Final 2434 - engineered 2214</t>
        </is>
      </c>
      <c r="C6" s="8" t="n">
        <v>0.0454</v>
      </c>
      <c r="D6" s="5" t="inlineStr"/>
      <c r="E6" s="5" t="inlineStr"/>
      <c r="F6" s="5" t="inlineStr"/>
      <c r="G6" s="5" t="inlineStr">
        <is>
          <t>Locked secondary contrast</t>
        </is>
      </c>
    </row>
    <row r="7">
      <c r="A7" s="4" t="inlineStr">
        <is>
          <t>R2 improvement</t>
        </is>
      </c>
      <c r="B7" s="4" t="inlineStr">
        <is>
          <t>XGB final - HGB final</t>
        </is>
      </c>
      <c r="C7" s="8" t="n">
        <v>0.008011000000000001</v>
      </c>
      <c r="D7" s="8" t="n">
        <v>0.002004</v>
      </c>
      <c r="E7" s="8" t="n">
        <v>0.013387</v>
      </c>
      <c r="F7" s="8" t="n">
        <v>0.016901</v>
      </c>
      <c r="G7" s="5" t="inlineStr">
        <is>
          <t>Co-primary paired contrast; Holm adjusted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.8" customWidth="1" min="2" max="2"/>
    <col width="12" customWidth="1" min="3" max="3"/>
    <col width="12" customWidth="1" min="4" max="4"/>
    <col width="12" customWidth="1" min="5" max="5"/>
    <col width="12" customWidth="1" min="6" max="6"/>
    <col width="12.6" customWidth="1" min="7" max="7"/>
    <col width="42" customWidth="1" min="8" max="8"/>
  </cols>
  <sheetData>
    <row r="1">
      <c r="A1" s="3" t="inlineStr">
        <is>
          <t>Model</t>
        </is>
      </c>
      <c r="B1" s="3" t="inlineStr">
        <is>
          <t>Setting</t>
        </is>
      </c>
      <c r="C1" s="3" t="inlineStr">
        <is>
          <t>AP</t>
        </is>
      </c>
      <c r="D1" s="3" t="inlineStr">
        <is>
          <t>Recall@K</t>
        </is>
      </c>
      <c r="E1" s="3" t="inlineStr">
        <is>
          <t>Top-1</t>
        </is>
      </c>
      <c r="F1" s="3" t="inlineStr">
        <is>
          <t>MRR</t>
        </is>
      </c>
      <c r="G1" s="3" t="inlineStr">
        <is>
          <t>Exact recovery</t>
        </is>
      </c>
      <c r="H1" s="3" t="inlineStr">
        <is>
          <t>Notes</t>
        </is>
      </c>
    </row>
    <row r="2">
      <c r="A2" s="4" t="inlineStr">
        <is>
          <t>HeptadPair engineered HGB 2214</t>
        </is>
      </c>
      <c r="B2" s="4" t="inlineStr">
        <is>
          <t>Zero-shot</t>
        </is>
      </c>
      <c r="C2" s="8" t="n">
        <v>0.8595</v>
      </c>
      <c r="D2" s="8" t="n">
        <v>0.7935</v>
      </c>
      <c r="E2" s="8" t="n">
        <v>0.8286</v>
      </c>
      <c r="F2" s="8" t="n">
        <v>0.8764999999999999</v>
      </c>
      <c r="G2" s="5" t="inlineStr"/>
      <c r="H2" s="5" t="inlineStr">
        <is>
          <t>Best zero-shot AP</t>
        </is>
      </c>
    </row>
    <row r="3">
      <c r="A3" s="4" t="inlineStr">
        <is>
          <t>HeptadPair final HGB 2434</t>
        </is>
      </c>
      <c r="B3" s="4" t="inlineStr">
        <is>
          <t>Zero-shot</t>
        </is>
      </c>
      <c r="C3" s="8" t="n">
        <v>0.7097</v>
      </c>
      <c r="D3" s="8" t="n">
        <v>0.6228</v>
      </c>
      <c r="E3" s="8" t="n">
        <v>0.6324</v>
      </c>
      <c r="F3" s="8" t="n">
        <v>0.7605</v>
      </c>
      <c r="G3" s="5" t="inlineStr"/>
      <c r="H3" s="5" t="inlineStr">
        <is>
          <t>Final register representation not universally best for retrieval</t>
        </is>
      </c>
    </row>
    <row r="4">
      <c r="A4" s="4" t="inlineStr">
        <is>
          <t>Best supervised locked model</t>
        </is>
      </c>
      <c r="B4" s="4" t="inlineStr">
        <is>
          <t>CCmax calibrated</t>
        </is>
      </c>
      <c r="C4" s="8" t="n">
        <v>0.9568</v>
      </c>
      <c r="D4" s="5" t="inlineStr"/>
      <c r="E4" s="5" t="inlineStr"/>
      <c r="F4" s="5" t="inlineStr"/>
      <c r="G4" s="5" t="inlineStr">
        <is>
          <t>9/13</t>
        </is>
      </c>
      <c r="H4" s="5" t="inlineStr">
        <is>
          <t>Best exact set recovery</t>
        </is>
      </c>
    </row>
    <row r="5">
      <c r="A5" s="4" t="inlineStr">
        <is>
          <t>Homodimer fraction association</t>
        </is>
      </c>
      <c r="B5" s="4" t="inlineStr">
        <is>
          <t>Across orthogonal sets</t>
        </is>
      </c>
      <c r="C5" s="5" t="inlineStr"/>
      <c r="D5" s="5" t="inlineStr"/>
      <c r="E5" s="5" t="inlineStr"/>
      <c r="F5" s="5" t="inlineStr"/>
      <c r="G5" s="8" t="n">
        <v>-0.8110000000000001</v>
      </c>
      <c r="H5" s="5" t="inlineStr">
        <is>
          <t>Association with performance; negative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13.5" customWidth="1" min="2" max="2"/>
    <col width="12" customWidth="1" min="3" max="3"/>
    <col width="12" customWidth="1" min="4" max="4"/>
    <col width="12" customWidth="1" min="5" max="5"/>
    <col width="12" customWidth="1" min="6" max="6"/>
    <col width="33.3" customWidth="1" min="7" max="7"/>
  </cols>
  <sheetData>
    <row r="1">
      <c r="A1" s="3" t="inlineStr">
        <is>
          <t>Model</t>
        </is>
      </c>
      <c r="B1" s="3" t="inlineStr">
        <is>
          <t>Training domain</t>
        </is>
      </c>
      <c r="C1" s="3" t="inlineStr">
        <is>
          <t>Pearson</t>
        </is>
      </c>
      <c r="D1" s="3" t="inlineStr">
        <is>
          <t>Spearman</t>
        </is>
      </c>
      <c r="E1" s="3" t="inlineStr">
        <is>
          <t>High-Tm AUC</t>
        </is>
      </c>
      <c r="F1" s="3" t="inlineStr">
        <is>
          <t>High-Tm AP</t>
        </is>
      </c>
      <c r="G1" s="3" t="inlineStr">
        <is>
          <t>Interpretation</t>
        </is>
      </c>
    </row>
    <row r="2">
      <c r="A2" s="4" t="inlineStr">
        <is>
          <t>iCipa</t>
        </is>
      </c>
      <c r="B2" s="4" t="inlineStr">
        <is>
          <t>None</t>
        </is>
      </c>
      <c r="C2" s="8" t="n">
        <v>0.2761</v>
      </c>
      <c r="D2" s="8" t="n">
        <v>0.2532</v>
      </c>
      <c r="E2" s="8" t="n">
        <v>0.7433999999999999</v>
      </c>
      <c r="F2" s="8" t="n">
        <v>0.3917</v>
      </c>
      <c r="G2" s="5" t="inlineStr">
        <is>
          <t>Protocol-matched comparator</t>
        </is>
      </c>
    </row>
    <row r="3">
      <c r="A3" s="4" t="inlineStr">
        <is>
          <t>HeptadPair engineered HGB 2214</t>
        </is>
      </c>
      <c r="B3" s="4" t="inlineStr">
        <is>
          <t>CCNG1</t>
        </is>
      </c>
      <c r="C3" s="8" t="n">
        <v>0.6729000000000001</v>
      </c>
      <c r="D3" s="8" t="n">
        <v>0.4124</v>
      </c>
      <c r="E3" s="8" t="n">
        <v>0.7774</v>
      </c>
      <c r="F3" s="8" t="n">
        <v>0.6541</v>
      </c>
      <c r="G3" s="5" t="inlineStr">
        <is>
          <t>Best CCNG1-only zero-shot correlation</t>
        </is>
      </c>
    </row>
    <row r="4">
      <c r="A4" s="4" t="inlineStr">
        <is>
          <t>HeptadPair final HGB 2434</t>
        </is>
      </c>
      <c r="B4" s="4" t="inlineStr">
        <is>
          <t>CCNG1</t>
        </is>
      </c>
      <c r="C4" s="8" t="n">
        <v>0.6574</v>
      </c>
      <c r="D4" s="8" t="n">
        <v>0.3721</v>
      </c>
      <c r="E4" s="8" t="n">
        <v>0.7811</v>
      </c>
      <c r="F4" s="8" t="n">
        <v>0.6848</v>
      </c>
      <c r="G4" s="5" t="inlineStr">
        <is>
          <t>Best zero-shot high-Tm AP</t>
        </is>
      </c>
    </row>
    <row r="5">
      <c r="A5" s="4" t="inlineStr">
        <is>
          <t>HeptadPair engineered XGB 2214</t>
        </is>
      </c>
      <c r="B5" s="4" t="inlineStr">
        <is>
          <t>CCmax</t>
        </is>
      </c>
      <c r="C5" s="8" t="n">
        <v>0.7786999999999999</v>
      </c>
      <c r="D5" s="8" t="n">
        <v>0.6594</v>
      </c>
      <c r="E5" s="5" t="inlineStr"/>
      <c r="F5" s="5" t="inlineStr"/>
      <c r="G5" s="5" t="inlineStr">
        <is>
          <t>Frozen post-CCmax transfer</t>
        </is>
      </c>
    </row>
    <row r="6">
      <c r="A6" s="4" t="inlineStr">
        <is>
          <t>HeptadPair final XGB shared 2434</t>
        </is>
      </c>
      <c r="B6" s="4" t="inlineStr">
        <is>
          <t>CCmax</t>
        </is>
      </c>
      <c r="C6" s="8" t="n">
        <v>0.8179999999999999</v>
      </c>
      <c r="D6" s="8" t="n">
        <v>0.7060999999999999</v>
      </c>
      <c r="E6" s="5" t="inlineStr"/>
      <c r="F6" s="5" t="inlineStr"/>
      <c r="G6" s="5" t="inlineStr">
        <is>
          <t>Best post-CCmax transfer</t>
        </is>
      </c>
    </row>
  </sheetData>
  <autoFilter ref="A1:G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26.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.6" customWidth="1" min="10" max="10"/>
  </cols>
  <sheetData>
    <row r="1">
      <c r="A1" s="3" t="inlineStr">
        <is>
          <t>Model</t>
        </is>
      </c>
      <c r="B1" s="3" t="inlineStr">
        <is>
          <t>Evaluation subset</t>
        </is>
      </c>
      <c r="C1" s="3" t="inlineStr">
        <is>
          <t>Pearson</t>
        </is>
      </c>
      <c r="D1" s="3" t="inlineStr">
        <is>
          <t>Spearman</t>
        </is>
      </c>
      <c r="E1" s="3" t="inlineStr">
        <is>
          <t>AUC</t>
        </is>
      </c>
      <c r="F1" s="3" t="inlineStr">
        <is>
          <t>AP</t>
        </is>
      </c>
      <c r="G1" s="3" t="inlineStr">
        <is>
          <t>Recall@6</t>
        </is>
      </c>
      <c r="H1" s="3" t="inlineStr">
        <is>
          <t>Top-1</t>
        </is>
      </c>
      <c r="I1" s="3" t="inlineStr">
        <is>
          <t>MRR</t>
        </is>
      </c>
      <c r="J1" s="3" t="inlineStr">
        <is>
          <t>Exact recovery</t>
        </is>
      </c>
    </row>
    <row r="2">
      <c r="A2" s="4" t="inlineStr">
        <is>
          <t>HeptadPair engineered HGB 2214 primary</t>
        </is>
      </c>
      <c r="B2" s="4" t="inlineStr">
        <is>
          <t>144 directed</t>
        </is>
      </c>
      <c r="C2" s="8" t="n">
        <v>0.8727</v>
      </c>
      <c r="D2" s="8" t="n">
        <v>0.2255</v>
      </c>
      <c r="E2" s="8" t="n">
        <v>1</v>
      </c>
      <c r="F2" s="8" t="n">
        <v>1</v>
      </c>
      <c r="G2" s="8" t="n">
        <v>1</v>
      </c>
      <c r="H2" s="8" t="n">
        <v>1</v>
      </c>
      <c r="I2" s="8" t="n">
        <v>1</v>
      </c>
      <c r="J2" s="5" t="inlineStr">
        <is>
          <t>True</t>
        </is>
      </c>
    </row>
    <row r="3">
      <c r="A3" s="4" t="inlineStr">
        <is>
          <t>HeptadPair engineered HGB 2214 primary</t>
        </is>
      </c>
      <c r="B3" s="4" t="inlineStr">
        <is>
          <t>141 five-replicate comparable</t>
        </is>
      </c>
      <c r="C3" s="8" t="n">
        <v>0.8907</v>
      </c>
      <c r="D3" s="8" t="n">
        <v>0.2432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5" t="inlineStr">
        <is>
          <t>True</t>
        </is>
      </c>
    </row>
    <row r="4">
      <c r="A4" s="4" t="inlineStr">
        <is>
          <t>HeptadPair engineered XGB 2214</t>
        </is>
      </c>
      <c r="B4" s="4" t="inlineStr">
        <is>
          <t>CCmax-calibrated transfer</t>
        </is>
      </c>
      <c r="C4" s="8" t="n">
        <v>0.895</v>
      </c>
      <c r="D4" s="8" t="n">
        <v>0.3861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5" t="inlineStr">
        <is>
          <t>True</t>
        </is>
      </c>
    </row>
    <row r="5">
      <c r="A5" s="4" t="inlineStr">
        <is>
          <t>HeptadPair final XGB shared 2434</t>
        </is>
      </c>
      <c r="B5" s="4" t="inlineStr">
        <is>
          <t>CCmax-calibrated transfer</t>
        </is>
      </c>
      <c r="C5" s="8" t="n">
        <v>0.8316</v>
      </c>
      <c r="D5" s="8" t="n">
        <v>0.3622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5" t="inlineStr">
        <is>
          <t>True</t>
        </is>
      </c>
    </row>
  </sheetData>
  <autoFilter ref="A1:J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6" customWidth="1" min="1" max="1"/>
    <col width="20.7" customWidth="1" min="2" max="2"/>
    <col width="12" customWidth="1" min="3" max="3"/>
    <col width="12" customWidth="1" min="4" max="4"/>
    <col width="12" customWidth="1" min="5" max="5"/>
    <col width="12" customWidth="1" min="6" max="6"/>
    <col width="35.1" customWidth="1" min="7" max="7"/>
  </cols>
  <sheetData>
    <row r="1">
      <c r="A1" s="3" t="inlineStr">
        <is>
          <t>Model</t>
        </is>
      </c>
      <c r="B1" s="3" t="inlineStr">
        <is>
          <t>Dataset</t>
        </is>
      </c>
      <c r="C1" s="3" t="inlineStr">
        <is>
          <t>Pearson</t>
        </is>
      </c>
      <c r="D1" s="3" t="inlineStr">
        <is>
          <t>Spearman</t>
        </is>
      </c>
      <c r="E1" s="3" t="inlineStr">
        <is>
          <t>ROC-AUC</t>
        </is>
      </c>
      <c r="F1" s="3" t="inlineStr">
        <is>
          <t>AP</t>
        </is>
      </c>
      <c r="G1" s="3" t="inlineStr">
        <is>
          <t>Interpretation</t>
        </is>
      </c>
    </row>
    <row r="2">
      <c r="A2" s="4" t="inlineStr">
        <is>
          <t>Fusion engineered + Potapov pair/triplet XGB</t>
        </is>
      </c>
      <c r="B2" s="4" t="inlineStr">
        <is>
          <t>3,726 sequence-resolved</t>
        </is>
      </c>
      <c r="C2" s="8" t="n">
        <v>0.4672</v>
      </c>
      <c r="D2" s="8" t="n">
        <v>0.4743</v>
      </c>
      <c r="E2" s="8" t="n">
        <v>0.9253</v>
      </c>
      <c r="F2" s="8" t="n">
        <v>0.7609</v>
      </c>
      <c r="G2" s="5" t="inlineStr">
        <is>
          <t>Best overall balance</t>
        </is>
      </c>
    </row>
    <row r="3">
      <c r="A3" s="4" t="inlineStr">
        <is>
          <t>Heptad engineered XGB</t>
        </is>
      </c>
      <c r="B3" s="4" t="inlineStr">
        <is>
          <t>3,726 sequence-resolved</t>
        </is>
      </c>
      <c r="C3" s="8" t="n">
        <v>0.4513</v>
      </c>
      <c r="D3" s="8" t="n">
        <v>0.4522</v>
      </c>
      <c r="E3" s="8" t="n">
        <v>0.9217</v>
      </c>
      <c r="F3" s="8" t="n">
        <v>0.7279</v>
      </c>
      <c r="G3" s="5" t="inlineStr">
        <is>
          <t>HeptadPair-only natural-domain transfer</t>
        </is>
      </c>
    </row>
    <row r="4">
      <c r="A4" s="4" t="inlineStr">
        <is>
          <t>Potapov pair/triplet XGB</t>
        </is>
      </c>
      <c r="B4" s="4" t="inlineStr">
        <is>
          <t>3,726 sequence-resolved</t>
        </is>
      </c>
      <c r="C4" s="8" t="n">
        <v>0.4449</v>
      </c>
      <c r="D4" s="8" t="n">
        <v>0.4442</v>
      </c>
      <c r="E4" s="8" t="n">
        <v>0.9136</v>
      </c>
      <c r="F4" s="8" t="n">
        <v>0.7672</v>
      </c>
      <c r="G4" s="5" t="inlineStr">
        <is>
          <t>Highest AP</t>
        </is>
      </c>
    </row>
    <row r="5">
      <c r="A5" s="4" t="inlineStr">
        <is>
          <t>SemiSVR-compatible reconstruction</t>
        </is>
      </c>
      <c r="B5" s="4" t="inlineStr">
        <is>
          <t>3,726 sequence-resolved</t>
        </is>
      </c>
      <c r="C5" s="8" t="n">
        <v>0.4265</v>
      </c>
      <c r="D5" s="8" t="n">
        <v>0.4446</v>
      </c>
      <c r="E5" s="8" t="n">
        <v>0.8884</v>
      </c>
      <c r="F5" s="8" t="n">
        <v>0.7199</v>
      </c>
      <c r="G5" s="5" t="inlineStr">
        <is>
          <t>Not exact original CPLEX implementation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.4" customWidth="1" min="7" max="7"/>
    <col width="12.6" customWidth="1" min="8" max="8"/>
  </cols>
  <sheetData>
    <row r="1">
      <c r="A1" s="3" t="inlineStr">
        <is>
          <t>Model</t>
        </is>
      </c>
      <c r="B1" s="3" t="inlineStr">
        <is>
          <t>Pearson</t>
        </is>
      </c>
      <c r="C1" s="3" t="inlineStr">
        <is>
          <t>Spearman</t>
        </is>
      </c>
      <c r="D1" s="3" t="inlineStr">
        <is>
          <t>ROC-AUC</t>
        </is>
      </c>
      <c r="E1" s="3" t="inlineStr">
        <is>
          <t>AP</t>
        </is>
      </c>
      <c r="F1" s="3" t="inlineStr">
        <is>
          <t>Partner Top-1</t>
        </is>
      </c>
      <c r="G1" s="3" t="inlineStr">
        <is>
          <t>Global Recall@27</t>
        </is>
      </c>
      <c r="H1" s="3" t="inlineStr">
        <is>
          <t>Exact recovery</t>
        </is>
      </c>
    </row>
    <row r="2">
      <c r="A2" s="4" t="inlineStr">
        <is>
          <t>CCNG1 HGB engineered 2214</t>
        </is>
      </c>
      <c r="B2" s="8" t="n">
        <v>0.1779</v>
      </c>
      <c r="C2" s="8" t="n">
        <v>0.2174</v>
      </c>
      <c r="D2" s="8" t="n">
        <v>0.7671</v>
      </c>
      <c r="E2" s="8" t="n">
        <v>0.0509</v>
      </c>
      <c r="F2" s="5" t="inlineStr">
        <is>
          <t>4/26</t>
        </is>
      </c>
      <c r="G2" s="5" t="inlineStr">
        <is>
          <t>0/27</t>
        </is>
      </c>
      <c r="H2" s="7" t="n">
        <v>0</v>
      </c>
    </row>
    <row r="3">
      <c r="A3" s="4" t="inlineStr">
        <is>
          <t>CCNG1 HGB final 2434</t>
        </is>
      </c>
      <c r="B3" s="8" t="n">
        <v>0.187</v>
      </c>
      <c r="C3" s="8" t="n">
        <v>0.2157</v>
      </c>
      <c r="D3" s="8" t="n">
        <v>0.6721</v>
      </c>
      <c r="E3" s="8" t="n">
        <v>0.0334</v>
      </c>
      <c r="F3" s="5" t="inlineStr">
        <is>
          <t>3/26</t>
        </is>
      </c>
      <c r="G3" s="5" t="inlineStr">
        <is>
          <t>0/27</t>
        </is>
      </c>
      <c r="H3" s="7" t="n">
        <v>0</v>
      </c>
    </row>
    <row r="4">
      <c r="A4" s="4" t="inlineStr">
        <is>
          <t>CCmax XGB engineered 2214</t>
        </is>
      </c>
      <c r="B4" s="8" t="n">
        <v>0.1033</v>
      </c>
      <c r="C4" s="8" t="n">
        <v>0.1145</v>
      </c>
      <c r="D4" s="8" t="n">
        <v>0.522</v>
      </c>
      <c r="E4" s="8" t="n">
        <v>0.019</v>
      </c>
      <c r="F4" s="5" t="inlineStr">
        <is>
          <t>1/26</t>
        </is>
      </c>
      <c r="G4" s="5" t="inlineStr">
        <is>
          <t>0/27</t>
        </is>
      </c>
      <c r="H4" s="7" t="n">
        <v>0</v>
      </c>
    </row>
    <row r="5">
      <c r="A5" s="4" t="inlineStr">
        <is>
          <t>CCmax XGB final 2434</t>
        </is>
      </c>
      <c r="B5" s="8" t="n">
        <v>0.1809</v>
      </c>
      <c r="C5" s="8" t="n">
        <v>0.176</v>
      </c>
      <c r="D5" s="8" t="n">
        <v>0.6315</v>
      </c>
      <c r="E5" s="8" t="n">
        <v>0.0293</v>
      </c>
      <c r="F5" s="5" t="inlineStr"/>
      <c r="G5" s="5" t="inlineStr">
        <is>
          <t>0/27</t>
        </is>
      </c>
      <c r="H5" s="7" t="n">
        <v>0</v>
      </c>
    </row>
  </sheetData>
  <autoFilter ref="A1:H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6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CI low</t>
        </is>
      </c>
      <c r="D1" s="3" t="inlineStr">
        <is>
          <t>CI high</t>
        </is>
      </c>
      <c r="E1" s="3" t="inlineStr">
        <is>
          <t>Interpretation</t>
        </is>
      </c>
    </row>
    <row r="2">
      <c r="A2" s="4" t="inlineStr">
        <is>
          <t>Primary structures</t>
        </is>
      </c>
      <c r="B2" s="7" t="n">
        <v>1023</v>
      </c>
      <c r="C2" s="5" t="inlineStr"/>
      <c r="D2" s="5" t="inlineStr"/>
      <c r="E2" s="5" t="inlineStr">
        <is>
          <t>Two-chain bundles from 846 PDB IDs</t>
        </is>
      </c>
    </row>
    <row r="3">
      <c r="A3" s="4" t="inlineStr">
        <is>
          <t>Pair probe both-register exact</t>
        </is>
      </c>
      <c r="B3" s="8" t="n">
        <v>0.584555</v>
      </c>
      <c r="C3" s="5" t="inlineStr"/>
      <c r="D3" s="5" t="inlineStr"/>
      <c r="E3" s="5" t="inlineStr">
        <is>
          <t>Primary frozen probe</t>
        </is>
      </c>
    </row>
    <row r="4">
      <c r="A4" s="4" t="inlineStr">
        <is>
          <t>Independent single-chain both-register exact</t>
        </is>
      </c>
      <c r="B4" s="8" t="n">
        <v>0.577713</v>
      </c>
      <c r="C4" s="5" t="inlineStr"/>
      <c r="D4" s="5" t="inlineStr"/>
      <c r="E4" s="5" t="inlineStr">
        <is>
          <t>Most register information reproduced independently</t>
        </is>
      </c>
    </row>
    <row r="5">
      <c r="A5" s="4" t="inlineStr">
        <is>
          <t>Row-level pair increment</t>
        </is>
      </c>
      <c r="B5" s="8" t="n">
        <v>0.006843</v>
      </c>
      <c r="C5" s="8" t="n">
        <v>-0.0038</v>
      </c>
      <c r="D5" s="8" t="n">
        <v>0.01749</v>
      </c>
      <c r="E5" s="5" t="inlineStr">
        <is>
          <t>30% sequence-cluster bootstrap crosses zero</t>
        </is>
      </c>
    </row>
    <row r="6">
      <c r="A6" s="4" t="inlineStr">
        <is>
          <t>30% cluster-macro pair increment</t>
        </is>
      </c>
      <c r="B6" s="8" t="n">
        <v>-0.002955</v>
      </c>
      <c r="C6" s="8" t="n">
        <v>-0.01376</v>
      </c>
      <c r="D6" s="8" t="n">
        <v>0.00747</v>
      </c>
      <c r="E6" s="5" t="inlineStr">
        <is>
          <t>Family-balanced estimate crosses zero</t>
        </is>
      </c>
    </row>
    <row r="7">
      <c r="A7" s="4" t="inlineStr">
        <is>
          <t>50% cluster-macro pair increment</t>
        </is>
      </c>
      <c r="B7" s="8" t="n">
        <v>-0.002361</v>
      </c>
      <c r="C7" s="8" t="n">
        <v>-0.01288</v>
      </c>
      <c r="D7" s="8" t="n">
        <v>0.00757</v>
      </c>
      <c r="E7" s="5" t="inlineStr">
        <is>
          <t>Family-balanced estimate crosses zero</t>
        </is>
      </c>
    </row>
    <row r="8">
      <c r="A8" s="4" t="inlineStr">
        <is>
          <t>Orientation balanced accuracy</t>
        </is>
      </c>
      <c r="B8" s="8" t="n">
        <v>0.5428460000000001</v>
      </c>
      <c r="C8" s="5" t="inlineStr"/>
      <c r="D8" s="5" t="inlineStr"/>
      <c r="E8" s="5" t="inlineStr">
        <is>
          <t>Weak orientation recovery</t>
        </is>
      </c>
    </row>
    <row r="9">
      <c r="A9" s="4" t="inlineStr">
        <is>
          <t>Metadata coverage</t>
        </is>
      </c>
      <c r="B9" s="8" t="n">
        <v>1</v>
      </c>
      <c r="C9" s="5" t="inlineStr"/>
      <c r="D9" s="5" t="inlineStr"/>
      <c r="E9" s="5" t="inlineStr">
        <is>
          <t>846/846 RCSB entries</t>
        </is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1" customWidth="1" min="4" max="4"/>
    <col width="20" customWidth="1" min="5" max="5"/>
    <col width="22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2" customWidth="1" min="12" max="12"/>
  </cols>
  <sheetData>
    <row r="1">
      <c r="A1" s="1" t="inlineStr">
        <is>
          <t>representation</t>
        </is>
      </c>
      <c r="B1" s="1" t="inlineStr">
        <is>
          <t>n_outer_seeds</t>
        </is>
      </c>
      <c r="C1" s="1" t="inlineStr">
        <is>
          <t>pearson_mean</t>
        </is>
      </c>
      <c r="D1" s="1" t="inlineStr">
        <is>
          <t>pearson_sd</t>
        </is>
      </c>
      <c r="E1" s="1" t="inlineStr">
        <is>
          <t>spearman_mean</t>
        </is>
      </c>
      <c r="F1" s="1" t="inlineStr">
        <is>
          <t>spearman_sd</t>
        </is>
      </c>
      <c r="G1" s="1" t="inlineStr">
        <is>
          <t>r2_mean</t>
        </is>
      </c>
      <c r="H1" s="1" t="inlineStr">
        <is>
          <t>r2_sd</t>
        </is>
      </c>
      <c r="I1" s="1" t="inlineStr">
        <is>
          <t>rmse_mean</t>
        </is>
      </c>
      <c r="J1" s="1" t="inlineStr">
        <is>
          <t>rmse_sd</t>
        </is>
      </c>
      <c r="K1" s="1" t="inlineStr">
        <is>
          <t>mae_mean</t>
        </is>
      </c>
      <c r="L1" s="1" t="inlineStr">
        <is>
          <t>mae_sd</t>
        </is>
      </c>
    </row>
    <row r="2">
      <c r="A2" s="9" t="inlineStr">
        <is>
          <t>baseline</t>
        </is>
      </c>
      <c r="B2" s="9" t="n">
        <v>5</v>
      </c>
      <c r="C2" s="9" t="n">
        <v>0.6373159105594969</v>
      </c>
      <c r="D2" s="9" t="n">
        <v>0.05541685244325224</v>
      </c>
      <c r="E2" s="9" t="n">
        <v>0.5720802747614929</v>
      </c>
      <c r="F2" s="9" t="n">
        <v>0.04399739699349028</v>
      </c>
      <c r="G2" s="9" t="n">
        <v>0.4022634620721265</v>
      </c>
      <c r="H2" s="9" t="n">
        <v>0.06811766666942637</v>
      </c>
      <c r="I2" s="9" t="n">
        <v>0.2798554828384766</v>
      </c>
      <c r="J2" s="9" t="n">
        <v>0.03673146893592772</v>
      </c>
      <c r="K2" s="9" t="n">
        <v>0.2106196384891463</v>
      </c>
      <c r="L2" s="9" t="n">
        <v>0.02188540401175943</v>
      </c>
    </row>
    <row r="3">
      <c r="A3" s="9" t="inlineStr">
        <is>
          <t>legacy2</t>
        </is>
      </c>
      <c r="B3" s="9" t="n">
        <v>5</v>
      </c>
      <c r="C3" s="9" t="n">
        <v>0.6438189839226632</v>
      </c>
      <c r="D3" s="9" t="n">
        <v>0.04287519321362389</v>
      </c>
      <c r="E3" s="9" t="n">
        <v>0.5770911026027312</v>
      </c>
      <c r="F3" s="9" t="n">
        <v>0.04419157863092468</v>
      </c>
      <c r="G3" s="9" t="n">
        <v>0.4077604167262412</v>
      </c>
      <c r="H3" s="9" t="n">
        <v>0.04948573350277057</v>
      </c>
      <c r="I3" s="9" t="n">
        <v>0.2787648569434135</v>
      </c>
      <c r="J3" s="9" t="n">
        <v>0.03523432478435797</v>
      </c>
      <c r="K3" s="9" t="n">
        <v>0.2090100205428954</v>
      </c>
      <c r="L3" s="9" t="n">
        <v>0.01935781893487644</v>
      </c>
    </row>
    <row r="4">
      <c r="A4" s="9" t="inlineStr">
        <is>
          <t>full5</t>
        </is>
      </c>
      <c r="B4" s="9" t="n">
        <v>5</v>
      </c>
      <c r="C4" s="9" t="n">
        <v>0.6411904658122825</v>
      </c>
      <c r="D4" s="9" t="n">
        <v>0.03944450339804241</v>
      </c>
      <c r="E4" s="9" t="n">
        <v>0.5724533848283488</v>
      </c>
      <c r="F4" s="9" t="n">
        <v>0.04517045485066436</v>
      </c>
      <c r="G4" s="9" t="n">
        <v>0.4044838594659039</v>
      </c>
      <c r="H4" s="9" t="n">
        <v>0.04610040886418593</v>
      </c>
      <c r="I4" s="9" t="n">
        <v>0.2796054834927381</v>
      </c>
      <c r="J4" s="9" t="n">
        <v>0.03536745846164086</v>
      </c>
      <c r="K4" s="9" t="n">
        <v>0.2095713855111988</v>
      </c>
      <c r="L4" s="9" t="n">
        <v>0.01969046805191065</v>
      </c>
    </row>
    <row r="5">
      <c r="A5" s="9" t="inlineStr">
        <is>
          <t>raw_best</t>
        </is>
      </c>
      <c r="B5" s="9" t="n">
        <v>5</v>
      </c>
      <c r="C5" s="9" t="n">
        <v>0.6374809250354005</v>
      </c>
      <c r="D5" s="9" t="n">
        <v>0.04967564032879213</v>
      </c>
      <c r="E5" s="9" t="n">
        <v>0.5733254879740454</v>
      </c>
      <c r="F5" s="9" t="n">
        <v>0.04580448738136777</v>
      </c>
      <c r="G5" s="9" t="n">
        <v>0.4009731790195635</v>
      </c>
      <c r="H5" s="9" t="n">
        <v>0.05902870269927912</v>
      </c>
      <c r="I5" s="9" t="n">
        <v>0.2802355189251203</v>
      </c>
      <c r="J5" s="9" t="n">
        <v>0.03543637601584998</v>
      </c>
      <c r="K5" s="9" t="n">
        <v>0.2093473401751318</v>
      </c>
      <c r="L5" s="9" t="n">
        <v>0.02051643152791667</v>
      </c>
    </row>
    <row r="6">
      <c r="A6" s="9" t="inlineStr">
        <is>
          <t>selected_native</t>
        </is>
      </c>
      <c r="B6" s="9" t="n">
        <v>5</v>
      </c>
      <c r="C6" s="9" t="n">
        <v>0.6365842500973442</v>
      </c>
      <c r="D6" s="9" t="n">
        <v>0.05418922286073789</v>
      </c>
      <c r="E6" s="9" t="n">
        <v>0.5747568480942424</v>
      </c>
      <c r="F6" s="9" t="n">
        <v>0.04111177354544893</v>
      </c>
      <c r="G6" s="9" t="n">
        <v>0.3998756690411818</v>
      </c>
      <c r="H6" s="9" t="n">
        <v>0.06431803008309479</v>
      </c>
      <c r="I6" s="9" t="n">
        <v>0.2804830647114073</v>
      </c>
      <c r="J6" s="9" t="n">
        <v>0.03652464650367086</v>
      </c>
      <c r="K6" s="9" t="n">
        <v>0.2104995284479965</v>
      </c>
      <c r="L6" s="9" t="n">
        <v>0.02192120009862812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24" customWidth="1" min="4" max="4"/>
    <col width="22" customWidth="1" min="5" max="5"/>
    <col width="27" customWidth="1" min="6" max="6"/>
    <col width="28" customWidth="1" min="7" max="7"/>
    <col width="34" customWidth="1" min="8" max="8"/>
    <col width="24" customWidth="1" min="9" max="9"/>
    <col width="22" customWidth="1" min="10" max="10"/>
    <col width="28" customWidth="1" min="11" max="11"/>
    <col width="29" customWidth="1" min="12" max="12"/>
    <col width="34" customWidth="1" min="13" max="13"/>
    <col width="24" customWidth="1" min="14" max="14"/>
    <col width="22" customWidth="1" min="15" max="15"/>
    <col width="23" customWidth="1" min="16" max="16"/>
    <col width="23" customWidth="1" min="17" max="17"/>
    <col width="31" customWidth="1" min="18" max="18"/>
    <col width="24" customWidth="1" min="19" max="19"/>
    <col width="23" customWidth="1" min="20" max="20"/>
    <col width="24" customWidth="1" min="21" max="21"/>
    <col width="25" customWidth="1" min="22" max="22"/>
    <col width="33" customWidth="1" min="23" max="23"/>
    <col width="25" customWidth="1" min="24" max="24"/>
    <col width="24" customWidth="1" min="25" max="25"/>
    <col width="24" customWidth="1" min="26" max="26"/>
    <col width="24" customWidth="1" min="27" max="27"/>
    <col width="32" customWidth="1" min="28" max="28"/>
    <col width="28" customWidth="1" min="29" max="29"/>
    <col width="28" customWidth="1" min="30" max="30"/>
  </cols>
  <sheetData>
    <row r="1">
      <c r="A1" s="1" t="inlineStr">
        <is>
          <t>reference</t>
        </is>
      </c>
      <c r="B1" s="1" t="inlineStr">
        <is>
          <t>challenger</t>
        </is>
      </c>
      <c r="C1" s="1" t="inlineStr">
        <is>
          <t>n_outer_seeds</t>
        </is>
      </c>
      <c r="D1" s="1" t="inlineStr">
        <is>
          <t>oriented_pearson_mean</t>
        </is>
      </c>
      <c r="E1" s="1" t="inlineStr">
        <is>
          <t>oriented_pearson_sd</t>
        </is>
      </c>
      <c r="F1" s="1" t="inlineStr">
        <is>
          <t>oriented_pearson_ci95_low</t>
        </is>
      </c>
      <c r="G1" s="1" t="inlineStr">
        <is>
          <t>oriented_pearson_ci95_high</t>
        </is>
      </c>
      <c r="H1" s="1" t="inlineStr">
        <is>
          <t>oriented_pearson_positive_fraction</t>
        </is>
      </c>
      <c r="I1" s="1" t="inlineStr">
        <is>
          <t>oriented_spearman_mean</t>
        </is>
      </c>
      <c r="J1" s="1" t="inlineStr">
        <is>
          <t>oriented_spearman_sd</t>
        </is>
      </c>
      <c r="K1" s="1" t="inlineStr">
        <is>
          <t>oriented_spearman_ci95_low</t>
        </is>
      </c>
      <c r="L1" s="1" t="inlineStr">
        <is>
          <t>oriented_spearman_ci95_high</t>
        </is>
      </c>
      <c r="M1" s="1" t="inlineStr">
        <is>
          <t>oriented_spearman_positive_fraction</t>
        </is>
      </c>
      <c r="N1" s="1" t="inlineStr">
        <is>
          <t>oriented_r2_mean</t>
        </is>
      </c>
      <c r="O1" s="1" t="inlineStr">
        <is>
          <t>oriented_r2_sd</t>
        </is>
      </c>
      <c r="P1" s="1" t="inlineStr">
        <is>
          <t>oriented_r2_ci95_low</t>
        </is>
      </c>
      <c r="Q1" s="1" t="inlineStr">
        <is>
          <t>oriented_r2_ci95_high</t>
        </is>
      </c>
      <c r="R1" s="1" t="inlineStr">
        <is>
          <t>oriented_r2_positive_fraction</t>
        </is>
      </c>
      <c r="S1" s="1" t="inlineStr">
        <is>
          <t>oriented_rmse_mean</t>
        </is>
      </c>
      <c r="T1" s="1" t="inlineStr">
        <is>
          <t>oriented_rmse_sd</t>
        </is>
      </c>
      <c r="U1" s="1" t="inlineStr">
        <is>
          <t>oriented_rmse_ci95_low</t>
        </is>
      </c>
      <c r="V1" s="1" t="inlineStr">
        <is>
          <t>oriented_rmse_ci95_high</t>
        </is>
      </c>
      <c r="W1" s="1" t="inlineStr">
        <is>
          <t>oriented_rmse_positive_fraction</t>
        </is>
      </c>
      <c r="X1" s="1" t="inlineStr">
        <is>
          <t>oriented_mae_mean</t>
        </is>
      </c>
      <c r="Y1" s="1" t="inlineStr">
        <is>
          <t>oriented_mae_sd</t>
        </is>
      </c>
      <c r="Z1" s="1" t="inlineStr">
        <is>
          <t>oriented_mae_ci95_low</t>
        </is>
      </c>
      <c r="AA1" s="1" t="inlineStr">
        <is>
          <t>oriented_mae_ci95_high</t>
        </is>
      </c>
      <c r="AB1" s="1" t="inlineStr">
        <is>
          <t>oriented_mae_positive_fraction</t>
        </is>
      </c>
      <c r="AC1" s="1" t="inlineStr">
        <is>
          <t>spearman_exact_one_sided_p</t>
        </is>
      </c>
      <c r="AD1" s="1" t="inlineStr">
        <is>
          <t>spearman_exact_two_sided_p</t>
        </is>
      </c>
    </row>
    <row r="2">
      <c r="A2" s="9" t="inlineStr">
        <is>
          <t>baseline</t>
        </is>
      </c>
      <c r="B2" s="9" t="inlineStr">
        <is>
          <t>legacy2</t>
        </is>
      </c>
      <c r="C2" s="9" t="n">
        <v>5</v>
      </c>
      <c r="D2" s="9" t="n">
        <v>0.006503073363166356</v>
      </c>
      <c r="E2" s="9" t="n">
        <v>0.01679202642490338</v>
      </c>
      <c r="F2" s="9" t="n">
        <v>-0.00587127807900083</v>
      </c>
      <c r="G2" s="9" t="n">
        <v>0.02051499440288891</v>
      </c>
      <c r="H2" s="9" t="n">
        <v>0.4</v>
      </c>
      <c r="I2" s="9" t="n">
        <v>0.005010827841238364</v>
      </c>
      <c r="J2" s="9" t="n">
        <v>0.01868667867899704</v>
      </c>
      <c r="K2" s="9" t="n">
        <v>-0.008158191324103803</v>
      </c>
      <c r="L2" s="9" t="n">
        <v>0.02105434251624432</v>
      </c>
      <c r="M2" s="9" t="n">
        <v>0.4</v>
      </c>
      <c r="N2" s="9" t="n">
        <v>0.005496954654114617</v>
      </c>
      <c r="O2" s="9" t="n">
        <v>0.02207055630492356</v>
      </c>
      <c r="P2" s="9" t="n">
        <v>-0.01116540498461356</v>
      </c>
      <c r="Q2" s="9" t="n">
        <v>0.02360107174535036</v>
      </c>
      <c r="R2" s="9" t="n">
        <v>0.4</v>
      </c>
      <c r="S2" s="9" t="n">
        <v>0.001090625895063063</v>
      </c>
      <c r="T2" s="9" t="n">
        <v>0.00475203669454059</v>
      </c>
      <c r="U2" s="9" t="n">
        <v>-0.002585754295963016</v>
      </c>
      <c r="V2" s="9" t="n">
        <v>0.004767006086089143</v>
      </c>
      <c r="W2" s="9" t="n">
        <v>0.4</v>
      </c>
      <c r="X2" s="9" t="n">
        <v>0.001609617946250924</v>
      </c>
      <c r="Y2" s="9" t="n">
        <v>0.005019663422871555</v>
      </c>
      <c r="Z2" s="9" t="n">
        <v>-0.002541492050316052</v>
      </c>
      <c r="AA2" s="9" t="n">
        <v>0.005324691778176583</v>
      </c>
      <c r="AB2" s="9" t="n">
        <v>0.6</v>
      </c>
      <c r="AC2" s="9" t="n">
        <v>0.375</v>
      </c>
      <c r="AD2" s="9" t="n">
        <v>0.75</v>
      </c>
    </row>
    <row r="3">
      <c r="A3" s="9" t="inlineStr">
        <is>
          <t>baseline</t>
        </is>
      </c>
      <c r="B3" s="9" t="inlineStr">
        <is>
          <t>full5</t>
        </is>
      </c>
      <c r="C3" s="9" t="n">
        <v>5</v>
      </c>
      <c r="D3" s="9" t="n">
        <v>0.00387455525278555</v>
      </c>
      <c r="E3" s="9" t="n">
        <v>0.01722443885065474</v>
      </c>
      <c r="F3" s="9" t="n">
        <v>-0.009447665637709513</v>
      </c>
      <c r="G3" s="9" t="n">
        <v>0.01719677614328061</v>
      </c>
      <c r="H3" s="9" t="n">
        <v>0.6</v>
      </c>
      <c r="I3" s="9" t="n">
        <v>0.0003731100668558307</v>
      </c>
      <c r="J3" s="9" t="n">
        <v>0.01810558140957803</v>
      </c>
      <c r="K3" s="9" t="n">
        <v>-0.01241741743436442</v>
      </c>
      <c r="L3" s="9" t="n">
        <v>0.01624522101120269</v>
      </c>
      <c r="M3" s="9" t="n">
        <v>0.4</v>
      </c>
      <c r="N3" s="9" t="n">
        <v>0.002220397393777262</v>
      </c>
      <c r="O3" s="9" t="n">
        <v>0.02293200396758195</v>
      </c>
      <c r="P3" s="9" t="n">
        <v>-0.01533249337331541</v>
      </c>
      <c r="Q3" s="9" t="n">
        <v>0.01985082959127198</v>
      </c>
      <c r="R3" s="9" t="n">
        <v>0.6</v>
      </c>
      <c r="S3" s="9" t="n">
        <v>0.0002499993457384164</v>
      </c>
      <c r="T3" s="9" t="n">
        <v>0.005051676635733205</v>
      </c>
      <c r="U3" s="9" t="n">
        <v>-0.003688447889671753</v>
      </c>
      <c r="V3" s="9" t="n">
        <v>0.004188446581148586</v>
      </c>
      <c r="W3" s="9" t="n">
        <v>0.6</v>
      </c>
      <c r="X3" s="9" t="n">
        <v>0.001048252977947572</v>
      </c>
      <c r="Y3" s="9" t="n">
        <v>0.005042637473782674</v>
      </c>
      <c r="Z3" s="9" t="n">
        <v>-0.002928686290483274</v>
      </c>
      <c r="AA3" s="9" t="n">
        <v>0.004873171902273638</v>
      </c>
      <c r="AB3" s="9" t="n">
        <v>0.6</v>
      </c>
      <c r="AC3" s="9" t="n">
        <v>0.46875</v>
      </c>
      <c r="AD3" s="9" t="n">
        <v>0.9375</v>
      </c>
    </row>
    <row r="4">
      <c r="A4" s="9" t="inlineStr">
        <is>
          <t>baseline</t>
        </is>
      </c>
      <c r="B4" s="9" t="inlineStr">
        <is>
          <t>raw_best</t>
        </is>
      </c>
      <c r="C4" s="9" t="n">
        <v>5</v>
      </c>
      <c r="D4" s="9" t="n">
        <v>0.0001650144759036021</v>
      </c>
      <c r="E4" s="9" t="n">
        <v>0.008643451953670771</v>
      </c>
      <c r="F4" s="9" t="n">
        <v>-0.007570147336184352</v>
      </c>
      <c r="G4" s="9" t="n">
        <v>0.006076088242669653</v>
      </c>
      <c r="H4" s="9" t="n">
        <v>0.6</v>
      </c>
      <c r="I4" s="9" t="n">
        <v>0.001245213212552398</v>
      </c>
      <c r="J4" s="9" t="n">
        <v>0.004850603924259097</v>
      </c>
      <c r="K4" s="9" t="n">
        <v>-0.002381628549478388</v>
      </c>
      <c r="L4" s="9" t="n">
        <v>0.004718650070718655</v>
      </c>
      <c r="M4" s="9" t="n">
        <v>0.6</v>
      </c>
      <c r="N4" s="9" t="n">
        <v>-0.001290283052563179</v>
      </c>
      <c r="O4" s="9" t="n">
        <v>0.0138244518326389</v>
      </c>
      <c r="P4" s="9" t="n">
        <v>-0.01377372633480956</v>
      </c>
      <c r="Q4" s="9" t="n">
        <v>0.007089620286509279</v>
      </c>
      <c r="R4" s="9" t="n">
        <v>0.6</v>
      </c>
      <c r="S4" s="9" t="n">
        <v>-0.0003800360866437091</v>
      </c>
      <c r="T4" s="9" t="n">
        <v>0.003587511255835941</v>
      </c>
      <c r="U4" s="9" t="n">
        <v>-0.003607304605524475</v>
      </c>
      <c r="V4" s="9" t="n">
        <v>0.00185740016613466</v>
      </c>
      <c r="W4" s="9" t="n">
        <v>0.6</v>
      </c>
      <c r="X4" s="9" t="n">
        <v>0.001272298314014569</v>
      </c>
      <c r="Y4" s="9" t="n">
        <v>0.002608619554020435</v>
      </c>
      <c r="Z4" s="9" t="n">
        <v>-0.0009736918194828248</v>
      </c>
      <c r="AA4" s="9" t="n">
        <v>0.003160212750633223</v>
      </c>
      <c r="AB4" s="9" t="n">
        <v>0.6</v>
      </c>
      <c r="AC4" s="9" t="n">
        <v>0.3125</v>
      </c>
      <c r="AD4" s="9" t="n">
        <v>0.625</v>
      </c>
    </row>
    <row r="5">
      <c r="A5" s="9" t="inlineStr">
        <is>
          <t>baseline</t>
        </is>
      </c>
      <c r="B5" s="9" t="inlineStr">
        <is>
          <t>selected_native</t>
        </is>
      </c>
      <c r="C5" s="9" t="n">
        <v>5</v>
      </c>
      <c r="D5" s="9" t="n">
        <v>-0.0007316604621526946</v>
      </c>
      <c r="E5" s="9" t="n">
        <v>0.001636042529822337</v>
      </c>
      <c r="F5" s="9" t="n">
        <v>-0.002194981386458084</v>
      </c>
      <c r="G5" s="9" t="n">
        <v>0</v>
      </c>
      <c r="H5" s="9" t="n">
        <v>0</v>
      </c>
      <c r="I5" s="9" t="n">
        <v>0.002676573332749466</v>
      </c>
      <c r="J5" s="9" t="n">
        <v>0.00598499991879097</v>
      </c>
      <c r="K5" s="9" t="n">
        <v>0</v>
      </c>
      <c r="L5" s="9" t="n">
        <v>0.008029719998248397</v>
      </c>
      <c r="M5" s="9" t="n">
        <v>0.2</v>
      </c>
      <c r="N5" s="9" t="n">
        <v>-0.002387793030944829</v>
      </c>
      <c r="O5" s="9" t="n">
        <v>0.005339267533392897</v>
      </c>
      <c r="P5" s="9" t="n">
        <v>-0.007163379092834488</v>
      </c>
      <c r="Q5" s="9" t="n">
        <v>0</v>
      </c>
      <c r="R5" s="9" t="n">
        <v>0</v>
      </c>
      <c r="S5" s="9" t="n">
        <v>-0.0006275818729307381</v>
      </c>
      <c r="T5" s="9" t="n">
        <v>0.001403315729319766</v>
      </c>
      <c r="U5" s="9" t="n">
        <v>-0.001882745618792214</v>
      </c>
      <c r="V5" s="9" t="n">
        <v>0</v>
      </c>
      <c r="W5" s="9" t="n">
        <v>0</v>
      </c>
      <c r="X5" s="9" t="n">
        <v>0.0001201100411498623</v>
      </c>
      <c r="Y5" s="9" t="n">
        <v>0.0002685742167913893</v>
      </c>
      <c r="Z5" s="9" t="n">
        <v>0</v>
      </c>
      <c r="AA5" s="9" t="n">
        <v>0.000360330123449587</v>
      </c>
      <c r="AB5" s="9" t="n">
        <v>0.2</v>
      </c>
      <c r="AC5" s="9" t="n">
        <v>0.5</v>
      </c>
      <c r="AD5" s="9" t="n">
        <v>1</v>
      </c>
    </row>
    <row r="6">
      <c r="A6" s="9" t="inlineStr">
        <is>
          <t>legacy2</t>
        </is>
      </c>
      <c r="B6" s="9" t="inlineStr">
        <is>
          <t>full5</t>
        </is>
      </c>
      <c r="C6" s="9" t="n">
        <v>5</v>
      </c>
      <c r="D6" s="9" t="n">
        <v>-0.002628518110380806</v>
      </c>
      <c r="E6" s="9" t="n">
        <v>0.00518145010272757</v>
      </c>
      <c r="F6" s="9" t="n">
        <v>-0.007201028462463399</v>
      </c>
      <c r="G6" s="9" t="n">
        <v>0.0009961227933739103</v>
      </c>
      <c r="H6" s="9" t="n">
        <v>0.4</v>
      </c>
      <c r="I6" s="9" t="n">
        <v>-0.004637717774382532</v>
      </c>
      <c r="J6" s="9" t="n">
        <v>0.004905197387048725</v>
      </c>
      <c r="K6" s="9" t="n">
        <v>-0.008302966024788017</v>
      </c>
      <c r="L6" s="9" t="n">
        <v>-0.0005939778598551326</v>
      </c>
      <c r="M6" s="9" t="n">
        <v>0.2</v>
      </c>
      <c r="N6" s="9" t="n">
        <v>-0.003276557260337354</v>
      </c>
      <c r="O6" s="9" t="n">
        <v>0.006384075897417344</v>
      </c>
      <c r="P6" s="9" t="n">
        <v>-0.008794009427212691</v>
      </c>
      <c r="Q6" s="9" t="n">
        <v>0.00135036377817348</v>
      </c>
      <c r="R6" s="9" t="n">
        <v>0.4</v>
      </c>
      <c r="S6" s="9" t="n">
        <v>-0.0008406265493246468</v>
      </c>
      <c r="T6" s="9" t="n">
        <v>0.001657070463658091</v>
      </c>
      <c r="U6" s="9" t="n">
        <v>-0.002291837359922722</v>
      </c>
      <c r="V6" s="9" t="n">
        <v>0.000348517216889338</v>
      </c>
      <c r="W6" s="9" t="n">
        <v>0.4</v>
      </c>
      <c r="X6" s="9" t="n">
        <v>-0.0005613649683033517</v>
      </c>
      <c r="Y6" s="9" t="n">
        <v>0.001342356837298868</v>
      </c>
      <c r="Z6" s="9" t="n">
        <v>-0.001723739839298355</v>
      </c>
      <c r="AA6" s="9" t="n">
        <v>0.0004079437730439284</v>
      </c>
      <c r="AB6" s="9" t="n">
        <v>0.6</v>
      </c>
      <c r="AC6" s="9" t="n">
        <v>0.9375</v>
      </c>
      <c r="AD6" s="9" t="n">
        <v>0.1875</v>
      </c>
    </row>
    <row r="7">
      <c r="A7" s="9" t="inlineStr">
        <is>
          <t>legacy2</t>
        </is>
      </c>
      <c r="B7" s="9" t="inlineStr">
        <is>
          <t>raw_best</t>
        </is>
      </c>
      <c r="C7" s="9" t="n">
        <v>5</v>
      </c>
      <c r="D7" s="9" t="n">
        <v>-0.006338058887262754</v>
      </c>
      <c r="E7" s="9" t="n">
        <v>0.01720431080244727</v>
      </c>
      <c r="F7" s="9" t="n">
        <v>-0.01944391207579161</v>
      </c>
      <c r="G7" s="9" t="n">
        <v>0.006767794301266106</v>
      </c>
      <c r="H7" s="9" t="n">
        <v>0.4</v>
      </c>
      <c r="I7" s="9" t="n">
        <v>-0.003765614628685965</v>
      </c>
      <c r="J7" s="9" t="n">
        <v>0.02248322082120578</v>
      </c>
      <c r="K7" s="9" t="n">
        <v>-0.02331685004886257</v>
      </c>
      <c r="L7" s="9" t="n">
        <v>0.01178120812234278</v>
      </c>
      <c r="M7" s="9" t="n">
        <v>0.6</v>
      </c>
      <c r="N7" s="9" t="n">
        <v>-0.006787237706677796</v>
      </c>
      <c r="O7" s="9" t="n">
        <v>0.02192915271536267</v>
      </c>
      <c r="P7" s="9" t="n">
        <v>-0.02310051754536724</v>
      </c>
      <c r="Q7" s="9" t="n">
        <v>0.009526042132011647</v>
      </c>
      <c r="R7" s="9" t="n">
        <v>0.4</v>
      </c>
      <c r="S7" s="9" t="n">
        <v>-0.001470661981706772</v>
      </c>
      <c r="T7" s="9" t="n">
        <v>0.004814973075996444</v>
      </c>
      <c r="U7" s="9" t="n">
        <v>-0.005073445391256937</v>
      </c>
      <c r="V7" s="9" t="n">
        <v>0.002178338082945569</v>
      </c>
      <c r="W7" s="9" t="n">
        <v>0.4</v>
      </c>
      <c r="X7" s="9" t="n">
        <v>-0.0003373196322363547</v>
      </c>
      <c r="Y7" s="9" t="n">
        <v>0.003666500088881859</v>
      </c>
      <c r="Z7" s="9" t="n">
        <v>-0.002651660678623019</v>
      </c>
      <c r="AA7" s="9" t="n">
        <v>0.002841869216348464</v>
      </c>
      <c r="AB7" s="9" t="n">
        <v>0.2</v>
      </c>
      <c r="AC7" s="9" t="n">
        <v>0.625</v>
      </c>
      <c r="AD7" s="9" t="n">
        <v>0.8125</v>
      </c>
    </row>
    <row r="8">
      <c r="A8" s="9" t="inlineStr">
        <is>
          <t>legacy2</t>
        </is>
      </c>
      <c r="B8" s="9" t="inlineStr">
        <is>
          <t>selected_native</t>
        </is>
      </c>
      <c r="C8" s="9" t="n">
        <v>5</v>
      </c>
      <c r="D8" s="9" t="n">
        <v>-0.007234733825319051</v>
      </c>
      <c r="E8" s="9" t="n">
        <v>0.0164337676565809</v>
      </c>
      <c r="F8" s="9" t="n">
        <v>-0.02061615209989973</v>
      </c>
      <c r="G8" s="9" t="n">
        <v>0.005038459919837313</v>
      </c>
      <c r="H8" s="9" t="n">
        <v>0.4</v>
      </c>
      <c r="I8" s="9" t="n">
        <v>-0.002334254508488898</v>
      </c>
      <c r="J8" s="9" t="n">
        <v>0.02073802030100217</v>
      </c>
      <c r="K8" s="9" t="n">
        <v>-0.01993027643174104</v>
      </c>
      <c r="L8" s="9" t="n">
        <v>0.01274489980620403</v>
      </c>
      <c r="M8" s="9" t="n">
        <v>0.6</v>
      </c>
      <c r="N8" s="9" t="n">
        <v>-0.007884747685059446</v>
      </c>
      <c r="O8" s="9" t="n">
        <v>0.0207574598549428</v>
      </c>
      <c r="P8" s="9" t="n">
        <v>-0.0244141930595708</v>
      </c>
      <c r="Q8" s="9" t="n">
        <v>0.007578640285477967</v>
      </c>
      <c r="R8" s="9" t="n">
        <v>0.4</v>
      </c>
      <c r="S8" s="9" t="n">
        <v>-0.001718207767993801</v>
      </c>
      <c r="T8" s="9" t="n">
        <v>0.004387141821324322</v>
      </c>
      <c r="U8" s="9" t="n">
        <v>-0.005004949943185566</v>
      </c>
      <c r="V8" s="9" t="n">
        <v>0.001718467360731946</v>
      </c>
      <c r="W8" s="9" t="n">
        <v>0.4</v>
      </c>
      <c r="X8" s="9" t="n">
        <v>-0.001489507905101062</v>
      </c>
      <c r="Y8" s="9" t="n">
        <v>0.005106180065299758</v>
      </c>
      <c r="Z8" s="9" t="n">
        <v>-0.005324691778176583</v>
      </c>
      <c r="AA8" s="9" t="n">
        <v>0.002661602091465915</v>
      </c>
      <c r="AB8" s="9" t="n">
        <v>0.4</v>
      </c>
      <c r="AC8" s="9" t="n">
        <v>0.5625</v>
      </c>
      <c r="AD8" s="9" t="n">
        <v>0.9375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selected_candidate_id</t>
        </is>
      </c>
      <c r="B1" s="1" t="inlineStr">
        <is>
          <t>selected_channels</t>
        </is>
      </c>
      <c r="C1" s="1" t="inlineStr">
        <is>
          <t>selected_n_channels</t>
        </is>
      </c>
      <c r="D1" s="1" t="inlineStr">
        <is>
          <t>n_outer_selections</t>
        </is>
      </c>
      <c r="E1" s="1" t="inlineStr">
        <is>
          <t>selection_fraction</t>
        </is>
      </c>
    </row>
    <row r="2">
      <c r="A2" s="9" t="inlineStr">
        <is>
          <t>baseline</t>
        </is>
      </c>
      <c r="B2" s="9" t="inlineStr"/>
      <c r="C2" s="9" t="n">
        <v>0</v>
      </c>
      <c r="D2" s="9" t="n">
        <v>4</v>
      </c>
      <c r="E2" s="9" t="n">
        <v>0.8</v>
      </c>
    </row>
    <row r="3">
      <c r="A3" s="9" t="inlineStr">
        <is>
          <t>b0</t>
        </is>
      </c>
      <c r="B3" s="9" t="inlineStr">
        <is>
          <t>b0</t>
        </is>
      </c>
      <c r="C3" s="9" t="n">
        <v>1</v>
      </c>
      <c r="D3" s="9" t="n">
        <v>1</v>
      </c>
      <c r="E3" s="9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phase</t>
        </is>
      </c>
      <c r="B2" s="9" t="inlineStr">
        <is>
          <t>80A1R1</t>
        </is>
      </c>
    </row>
    <row r="3">
      <c r="A3" s="9" t="inlineStr">
        <is>
          <t>graph_family</t>
        </is>
      </c>
      <c r="B3" s="9" t="inlineStr">
        <is>
          <t>all 2^8 spoke masks x 2^8 outer-edge masks on frozen Phase65 x0..x7+a+b graph</t>
        </is>
      </c>
    </row>
    <row r="4">
      <c r="A4" s="9" t="inlineStr">
        <is>
          <t>n_states</t>
        </is>
      </c>
      <c r="B4" s="9" t="n">
        <v>65536</v>
      </c>
    </row>
    <row r="5">
      <c r="A5" s="9" t="inlineStr">
        <is>
          <t>n_unique_glmy5_vectors</t>
        </is>
      </c>
      <c r="B5" s="9" t="n">
        <v>144</v>
      </c>
    </row>
    <row r="6">
      <c r="A6" s="9" t="inlineStr">
        <is>
          <t>all_c1_equals_directed_cycle_rank_E_minus_V_plus_b0</t>
        </is>
      </c>
      <c r="B6" s="9" t="b">
        <v>1</v>
      </c>
    </row>
    <row r="7">
      <c r="A7" s="9" t="inlineStr">
        <is>
          <t>all_b2_equals_c2</t>
        </is>
      </c>
      <c r="B7" s="9" t="b">
        <v>1</v>
      </c>
    </row>
    <row r="8">
      <c r="A8" s="9" t="inlineStr">
        <is>
          <t>b2_c2_are_exact_full_template_indicator</t>
        </is>
      </c>
      <c r="B8" s="9" t="b">
        <v>1</v>
      </c>
    </row>
    <row r="9">
      <c r="A9" s="9" t="inlineStr">
        <is>
          <t>n_states_b2_c2_nonzero</t>
        </is>
      </c>
      <c r="B9" s="9" t="n">
        <v>1</v>
      </c>
    </row>
    <row r="10">
      <c r="A10" s="9" t="inlineStr">
        <is>
          <t>all_b1_le_c1</t>
        </is>
      </c>
      <c r="B10" s="9" t="b">
        <v>1</v>
      </c>
    </row>
    <row r="11">
      <c r="A11" s="9" t="inlineStr">
        <is>
          <t>fraction_states_b1_lt_c1</t>
        </is>
      </c>
      <c r="B11" s="9" t="n">
        <v>0.90234375</v>
      </c>
    </row>
    <row r="12">
      <c r="A12" s="9" t="inlineStr">
        <is>
          <t>fraction_states_b1_eq_c1</t>
        </is>
      </c>
      <c r="B12" s="9" t="n">
        <v>0.09765625</v>
      </c>
    </row>
    <row r="13">
      <c r="A13" s="9" t="inlineStr">
        <is>
          <t>n_spoke_outer_count_pairs_where_b1_varies</t>
        </is>
      </c>
      <c r="B13" s="9" t="n">
        <v>52</v>
      </c>
    </row>
    <row r="14">
      <c r="A14" s="9" t="inlineStr">
        <is>
          <t>n_b0_c1_pairs_where_b1_varies</t>
        </is>
      </c>
      <c r="B14" s="9" t="n">
        <v>45</v>
      </c>
    </row>
    <row r="15">
      <c r="A15" s="9" t="inlineStr">
        <is>
          <t>n_nominal_nonempty_subsets</t>
        </is>
      </c>
      <c r="B15" s="9" t="n">
        <v>31</v>
      </c>
    </row>
    <row r="16">
      <c r="A16" s="9" t="inlineStr">
        <is>
          <t>n_effective_information_subsets_if_b2_c2_collapsed</t>
        </is>
      </c>
      <c r="B16" s="9" t="n">
        <v>15</v>
      </c>
    </row>
    <row r="17">
      <c r="A17" s="9" t="inlineStr">
        <is>
          <t>failure_count</t>
        </is>
      </c>
      <c r="B17" s="9" t="n">
        <v>0</v>
      </c>
    </row>
    <row r="18">
      <c r="A18" s="9" t="inlineStr">
        <is>
          <t>b0_min</t>
        </is>
      </c>
      <c r="B18" s="9" t="n">
        <v>1</v>
      </c>
    </row>
    <row r="19">
      <c r="A19" s="9" t="inlineStr">
        <is>
          <t>b0_max</t>
        </is>
      </c>
      <c r="B19" s="9" t="n">
        <v>10</v>
      </c>
    </row>
    <row r="20">
      <c r="A20" s="9" t="inlineStr">
        <is>
          <t>b0_n_values</t>
        </is>
      </c>
      <c r="B20" s="9" t="n">
        <v>10</v>
      </c>
    </row>
    <row r="21">
      <c r="A21" s="9" t="inlineStr">
        <is>
          <t>b1_min</t>
        </is>
      </c>
      <c r="B21" s="9" t="n">
        <v>0</v>
      </c>
    </row>
    <row r="22">
      <c r="A22" s="9" t="inlineStr">
        <is>
          <t>b1_max</t>
        </is>
      </c>
      <c r="B22" s="9" t="n">
        <v>5</v>
      </c>
    </row>
    <row r="23">
      <c r="A23" s="9" t="inlineStr">
        <is>
          <t>b1_n_values</t>
        </is>
      </c>
      <c r="B23" s="9" t="n">
        <v>6</v>
      </c>
    </row>
    <row r="24">
      <c r="A24" s="9" t="inlineStr">
        <is>
          <t>b2_min</t>
        </is>
      </c>
      <c r="B24" s="9" t="n">
        <v>0</v>
      </c>
    </row>
    <row r="25">
      <c r="A25" s="9" t="inlineStr">
        <is>
          <t>b2_max</t>
        </is>
      </c>
      <c r="B25" s="9" t="n">
        <v>1</v>
      </c>
    </row>
    <row r="26">
      <c r="A26" s="9" t="inlineStr">
        <is>
          <t>b2_n_values</t>
        </is>
      </c>
      <c r="B26" s="9" t="n">
        <v>2</v>
      </c>
    </row>
    <row r="27">
      <c r="A27" s="9" t="inlineStr">
        <is>
          <t>c1_min</t>
        </is>
      </c>
      <c r="B27" s="9" t="n">
        <v>0</v>
      </c>
    </row>
    <row r="28">
      <c r="A28" s="9" t="inlineStr">
        <is>
          <t>c1_max</t>
        </is>
      </c>
      <c r="B28" s="9" t="n">
        <v>15</v>
      </c>
    </row>
    <row r="29">
      <c r="A29" s="9" t="inlineStr">
        <is>
          <t>c1_n_values</t>
        </is>
      </c>
      <c r="B29" s="9" t="n">
        <v>16</v>
      </c>
    </row>
    <row r="30">
      <c r="A30" s="9" t="inlineStr">
        <is>
          <t>c2_min</t>
        </is>
      </c>
      <c r="B30" s="9" t="n">
        <v>0</v>
      </c>
    </row>
    <row r="31">
      <c r="A31" s="9" t="inlineStr">
        <is>
          <t>c2_max</t>
        </is>
      </c>
      <c r="B31" s="9" t="n">
        <v>1</v>
      </c>
    </row>
    <row r="32">
      <c r="A32" s="9" t="inlineStr">
        <is>
          <t>c2_n_values</t>
        </is>
      </c>
      <c r="B32" s="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2026-08-06T03:20:41Z</dcterms:created>
  <dcterms:modified xmlns:dcterms="http://purl.org/dc/terms/" xmlns:xsi="http://www.w3.org/2001/XMLSchema-instance" xsi:type="dcterms:W3CDTF">2026-08-30T09:11:49Z</dcterms:modified>
</cp:coreProperties>
</file>